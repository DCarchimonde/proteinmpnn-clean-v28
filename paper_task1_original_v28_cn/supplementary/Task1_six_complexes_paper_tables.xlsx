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b445342b7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55c1f7fa32431f"/>
    <x:sheet xmlns:r="http://schemas.openxmlformats.org/officeDocument/2006/relationships" name="Pub_Table1" sheetId="2" r:id="R637eb651800243d1"/>
    <x:sheet xmlns:r="http://schemas.openxmlformats.org/officeDocument/2006/relationships" name="Pub_Table2" sheetId="3" r:id="R0cfd111e969e4754"/>
    <x:sheet xmlns:r="http://schemas.openxmlformats.org/officeDocument/2006/relationships" name="Pub_Table3" sheetId="4" r:id="Re6d589e77d20435a"/>
    <x:sheet xmlns:r="http://schemas.openxmlformats.org/officeDocument/2006/relationships" name="Table1_Cohort" sheetId="5" r:id="Re876f5903c8d4072"/>
    <x:sheet xmlns:r="http://schemas.openxmlformats.org/officeDocument/2006/relationships" name="Table2_RMSD" sheetId="6" r:id="Rfb8c34b3896e46c3"/>
    <x:sheet xmlns:r="http://schemas.openxmlformats.org/officeDocument/2006/relationships" name="Table3_Selected6" sheetId="7" r:id="Rb44cf42e526f4a94"/>
    <x:sheet xmlns:r="http://schemas.openxmlformats.org/officeDocument/2006/relationships" name="Table4_Model" sheetId="8" r:id="Rabf911da85034c27"/>
    <x:sheet xmlns:r="http://schemas.openxmlformats.org/officeDocument/2006/relationships" name="Table5_Availability" sheetId="9" r:id="R2fd5a072e82c4045"/>
    <x:sheet xmlns:r="http://schemas.openxmlformats.org/officeDocument/2006/relationships" name="Figure_Index" sheetId="10" r:id="R9f6ed9f57c894f63"/>
    <x:sheet xmlns:r="http://schemas.openxmlformats.org/officeDocument/2006/relationships" name="Source_Index" sheetId="11" r:id="R975e834fbb31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"/>
    <x:numFmt numFmtId="202" formatCode="0.00%"/>
    <x:numFmt numFmtId="203" formatCode="0.000"/>
    <x:numFmt numFmtId="204" formatCode="0.0000%"/>
    <x:numFmt numFmtId="205" formatCode="0.000E+00"/>
  </x:numFmts>
  <x:fonts count="15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7365D"/>
      <x:name val="Aptos"/>
    </x:font>
    <x:font>
      <x:b/>
      <x:sz val="9"/>
      <x:color rgb="FF17365D"/>
      <x:name val="Aptos"/>
    </x:font>
    <x:font>
      <x:b/>
      <x:sz val="20"/>
      <x:color rgb="FF17365D"/>
      <x:name val="Aptos Display"/>
    </x:font>
    <x:font>
      <x:b/>
      <x:sz val="10"/>
      <x:color rgb="FFBF8F00"/>
      <x:name val="Aptos"/>
    </x:font>
    <x:font>
      <x:b/>
      <x:sz val="10"/>
      <x:color rgb="FF17365D"/>
      <x:name val="Aptos"/>
    </x:font>
    <x:font>
      <x:b/>
      <x:sz val="10"/>
      <x:color rgb="FF548235"/>
      <x:name val="Aptos"/>
    </x:font>
    <x:font>
      <x:b/>
      <x:sz val="10"/>
      <x:color rgb="FFC00000"/>
      <x:name val="Aptos"/>
    </x:font>
    <x:font>
      <x:sz val="10"/>
      <x:color rgb="FF44546A"/>
      <x:name val="Aptos"/>
    </x:font>
    <x:font>
      <x:b/>
      <x:sz val="9"/>
      <x:color rgb="FFFFFFFF"/>
      <x:name val="Aptos"/>
    </x:font>
    <x:font>
      <x:sz val="9"/>
      <x:color rgb="FF0070C0"/>
      <x:name val="Aptos"/>
    </x:font>
    <x:font>
      <x:b/>
      <x:sz val="9"/>
      <x:color rgb="FF0070C0"/>
      <x:name val="Aptos"/>
    </x:font>
    <x:font>
      <x:sz val="9"/>
      <x:color rgb="FF1F2937"/>
      <x:name val="Aptos"/>
    </x:font>
    <x:font>
      <x:sz val="8"/>
      <x:color rgb="FF0070C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</x:fills>
  <x:borders count="15">
    <x:border/>
    <x:border>
      <x:left style="thin">
        <x:color rgb="FF9EADBF"/>
      </x:left>
      <x:top style="thin">
        <x:color rgb="FF9EADBF"/>
      </x:top>
      <x:bottom style="thin">
        <x:color rgb="FF9EADBF"/>
      </x:bottom>
    </x:border>
    <x:border>
      <x:top style="thin">
        <x:color rgb="FF9EADBF"/>
      </x:top>
      <x:bottom style="thin">
        <x:color rgb="FF9EADBF"/>
      </x:bottom>
    </x:border>
    <x:border>
      <x:right style="thin">
        <x:color rgb="FF9EADBF"/>
      </x:right>
      <x:top style="thin">
        <x:color rgb="FF9EADBF"/>
      </x:top>
      <x:bottom style="thin">
        <x:color rgb="FF9EADBF"/>
      </x:bottom>
    </x:border>
    <x:border>
      <x:left style="thin">
        <x:color rgb="FF9EADBF"/>
      </x:left>
      <x:top style="thin">
        <x:color rgb="FF9EADBF"/>
      </x:top>
    </x:border>
    <x:border>
      <x:top style="thin">
        <x:color rgb="FF9EADBF"/>
      </x:top>
    </x:border>
    <x:border>
      <x:right style="thin">
        <x:color rgb="FF9EADBF"/>
      </x:right>
      <x:top style="thin">
        <x:color rgb="FF9EADBF"/>
      </x:top>
    </x:border>
    <x:border>
      <x:left style="thin">
        <x:color rgb="FF9EADBF"/>
      </x:left>
      <x:bottom style="thin">
        <x:color rgb="FF9EADBF"/>
      </x:bottom>
    </x:border>
    <x:border>
      <x:bottom style="thin">
        <x:color rgb="FF9EADBF"/>
      </x:bottom>
    </x:border>
    <x:border>
      <x:right style="thin">
        <x:color rgb="FF9EADBF"/>
      </x:right>
      <x:bottom style="thin">
        <x:color rgb="FF9EADBF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200" fontId="4" fillId="3" borderId="4" xfId="0" applyNumberFormat="1" applyFont="1" applyFill="1" applyBorder="1"/>
    <x:xf numFmtId="200" fontId="4" fillId="3" borderId="5" xfId="0" applyNumberFormat="1" applyFont="1" applyFill="1" applyBorder="1"/>
    <x:xf numFmtId="200" fontId="4" fillId="3" borderId="6" xfId="0" applyNumberFormat="1" applyFont="1" applyFill="1" applyBorder="1"/>
    <x:xf numFmtId="200" fontId="4" fillId="3" borderId="7" xfId="0" applyNumberFormat="1" applyFont="1" applyFill="1" applyBorder="1"/>
    <x:xf numFmtId="200" fontId="4" fillId="3" borderId="8" xfId="0" applyNumberFormat="1" applyFont="1" applyFill="1" applyBorder="1"/>
    <x:xf numFmtId="200" fontId="4" fillId="3" borderId="9" xfId="0" applyNumberFormat="1" applyFont="1" applyFill="1" applyBorder="1"/>
    <x:xf numFmtId="200" fontId="4" fillId="3" borderId="4" xfId="0" applyNumberFormat="1" applyFont="1" applyFill="1" applyBorder="1" applyAlignment="1">
      <x:alignment horizontal="center"/>
    </x:xf>
    <x:xf numFmtId="200" fontId="4" fillId="3" borderId="5" xfId="0" applyNumberFormat="1" applyFont="1" applyFill="1" applyBorder="1" applyAlignment="1">
      <x:alignment horizontal="center"/>
    </x:xf>
    <x:xf numFmtId="200" fontId="4" fillId="3" borderId="6" xfId="0" applyNumberFormat="1" applyFont="1" applyFill="1" applyBorder="1" applyAlignment="1">
      <x:alignment horizontal="center"/>
    </x:xf>
    <x:xf numFmtId="200" fontId="4" fillId="3" borderId="7" xfId="0" applyNumberFormat="1" applyFont="1" applyFill="1" applyBorder="1" applyAlignment="1">
      <x:alignment horizontal="center"/>
    </x:xf>
    <x:xf numFmtId="200" fontId="4" fillId="3" borderId="8" xfId="0" applyNumberFormat="1" applyFont="1" applyFill="1" applyBorder="1" applyAlignment="1">
      <x:alignment horizontal="center"/>
    </x:xf>
    <x:xf numFmtId="200" fontId="4" fillId="3" borderId="9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7" xfId="0" applyNumberFormat="1" applyFont="1" applyFill="1" applyBorder="1" applyAlignment="1">
      <x:alignment horizontal="center" vertical="center"/>
    </x:xf>
    <x:xf numFmtId="200" fontId="4" fillId="3" borderId="8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7" xfId="0" applyNumberFormat="1" applyFont="1" applyFill="1" applyBorder="1"/>
    <x:xf numFmtId="200" fontId="4" fillId="4" borderId="8" xfId="0" applyNumberFormat="1" applyFont="1" applyFill="1" applyBorder="1"/>
    <x:xf numFmtId="200" fontId="4" fillId="4" borderId="9" xfId="0" applyNumberFormat="1" applyFont="1" applyFill="1" applyBorder="1"/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7" xfId="0" applyNumberFormat="1" applyFont="1" applyFill="1" applyBorder="1" applyAlignment="1">
      <x:alignment horizontal="center"/>
    </x:xf>
    <x:xf numFmtId="200" fontId="4" fillId="4" borderId="8" xfId="0" applyNumberFormat="1" applyFont="1" applyFill="1" applyBorder="1" applyAlignment="1">
      <x:alignment horizontal="center"/>
    </x:xf>
    <x:xf numFmtId="200" fontId="4" fillId="4" borderId="9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0" fontId="4" fillId="4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vertical="center" wrapText="1"/>
    </x:xf>
    <x:xf numFmtId="0" fontId="6" fillId="3" borderId="11" xfId="0" applyNumberFormat="1" applyFont="1" applyFill="1" applyBorder="1" applyAlignment="1">
      <x:alignment vertical="center" wrapText="1"/>
    </x:xf>
    <x:xf numFmtId="0" fontId="6" fillId="3" borderId="1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0" xfId="0" applyNumberFormat="1" applyFont="1" applyFill="1" applyBorder="1" applyAlignment="1">
      <x:alignment wrapText="1"/>
    </x:xf>
    <x:xf numFmtId="0" fontId="9" fillId="7" borderId="11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wrapText="1"/>
    </x:xf>
    <x:xf numFmtId="0" fontId="9" fillId="7" borderId="10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0" fontId="9" fillId="7" borderId="1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13" xfId="0" applyNumberFormat="1" applyFont="1" applyFill="1" applyBorder="1"/>
    <x:xf numFmtId="0" fontId="10" fillId="8" borderId="13" xfId="0" applyNumberFormat="1" applyFont="1" applyFill="1" applyBorder="1" applyAlignment="1">
      <x:alignment wrapText="1"/>
    </x:xf>
    <x:xf numFmtId="0" fontId="10" fillId="8" borderId="13" xfId="0" applyNumberFormat="1" applyFont="1" applyFill="1" applyBorder="1" applyAlignment="1">
      <x:alignment horizontal="center" wrapText="1"/>
    </x:xf>
    <x:xf numFmtId="0" fontId="10" fillId="8" borderId="13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4" xfId="0" applyNumberFormat="1" applyFont="1" applyFill="1" applyBorder="1"/>
    <x:xf numFmtId="0" fontId="11" fillId="0" borderId="14" xfId="0" applyNumberFormat="1" applyFont="1" applyFill="1" applyBorder="1" applyAlignment="1">
      <x:alignment wrapText="1"/>
    </x:xf>
    <x:xf numFmtId="0" fontId="11" fillId="0" borderId="14" xfId="0" applyNumberFormat="1" applyFont="1" applyFill="1" applyBorder="1" applyAlignment="1">
      <x:alignment vertical="center" wrapText="1"/>
    </x:xf>
    <x:xf numFmtId="0" fontId="12" fillId="0" borderId="14" xfId="0" applyNumberFormat="1" applyFont="1" applyFill="1" applyBorder="1" applyAlignment="1">
      <x:alignment vertical="center" wrapText="1"/>
    </x:xf>
    <x:xf numFmtId="201" fontId="12" fillId="0" borderId="1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13" xfId="0" applyNumberFormat="1" applyFont="1" applyFill="1" applyBorder="1"/>
    <x:xf numFmtId="0" fontId="10" fillId="9" borderId="13" xfId="0" applyNumberFormat="1" applyFont="1" applyFill="1" applyBorder="1" applyAlignment="1">
      <x:alignment wrapText="1"/>
    </x:xf>
    <x:xf numFmtId="0" fontId="10" fillId="9" borderId="13" xfId="0" applyNumberFormat="1" applyFont="1" applyFill="1" applyBorder="1" applyAlignment="1">
      <x:alignment horizontal="center" wrapText="1"/>
    </x:xf>
    <x:xf numFmtId="0" fontId="10" fillId="9" borderId="13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14" xfId="0" applyNumberFormat="1" applyFont="1" applyFill="1" applyBorder="1"/>
    <x:xf numFmtId="0" fontId="13" fillId="0" borderId="14" xfId="0" applyNumberFormat="1" applyFont="1" applyFill="1" applyBorder="1" applyAlignment="1">
      <x:alignment wrapText="1"/>
    </x:xf>
    <x:xf numFmtId="0" fontId="13" fillId="0" borderId="14" xfId="0" applyNumberFormat="1" applyFont="1" applyFill="1" applyBorder="1" applyAlignment="1">
      <x:alignment vertical="center" wrapText="1"/>
    </x:xf>
    <x:xf numFmtId="0" fontId="11" fillId="0" borderId="14" xfId="0" applyNumberFormat="1" applyFont="1" applyFill="1" applyBorder="1" applyAlignment="1">
      <x:alignment wrapText="0"/>
    </x:xf>
    <x:xf numFmtId="0" fontId="11" fillId="0" borderId="14" xfId="0" applyNumberFormat="1" applyFont="1" applyFill="1" applyBorder="1" applyAlignment="1">
      <x:alignment vertical="center" wrapText="0"/>
    </x:xf>
    <x:xf numFmtId="0" fontId="13" fillId="0" borderId="14" xfId="0" applyNumberFormat="1" applyFont="1" applyFill="1" applyBorder="1" applyAlignment="1">
      <x:alignment vertical="center" wrapText="0"/>
    </x:xf>
    <x:xf numFmtId="0" fontId="13" fillId="4" borderId="14" xfId="0" applyNumberFormat="1" applyFont="1" applyFill="1" applyBorder="1" applyAlignment="1">
      <x:alignment vertical="center" wrapText="0"/>
    </x:xf>
    <x:xf numFmtId="202" fontId="13" fillId="4" borderId="14" xfId="0" applyNumberFormat="1" applyFont="1" applyFill="1" applyBorder="1" applyAlignment="1">
      <x:alignment vertical="center" wrapText="0"/>
    </x:xf>
    <x:xf numFmtId="202" fontId="11" fillId="0" borderId="14" xfId="0" applyNumberFormat="1" applyFont="1" applyFill="1" applyBorder="1" applyAlignment="1">
      <x:alignment vertical="center" wrapText="0"/>
    </x:xf>
    <x:xf numFmtId="203" fontId="11" fillId="0" borderId="14" xfId="0" applyNumberFormat="1" applyFont="1" applyFill="1" applyBorder="1" applyAlignment="1">
      <x:alignment vertical="center" wrapText="0"/>
    </x:xf>
    <x:xf numFmtId="0" fontId="11" fillId="3" borderId="14" xfId="0" applyNumberFormat="1" applyFont="1" applyFill="1" applyBorder="1" applyAlignment="1">
      <x:alignment vertical="center" wrapText="0"/>
    </x:xf>
    <x:xf numFmtId="0" fontId="13" fillId="3" borderId="14" xfId="0" applyNumberFormat="1" applyFont="1" applyFill="1" applyBorder="1" applyAlignment="1">
      <x:alignment vertical="center" wrapText="0"/>
    </x:xf>
    <x:xf numFmtId="202" fontId="13" fillId="3" borderId="14" xfId="0" applyNumberFormat="1" applyFont="1" applyFill="1" applyBorder="1" applyAlignment="1">
      <x:alignment vertical="center" wrapText="0"/>
    </x:xf>
    <x:xf numFmtId="203" fontId="11" fillId="3" borderId="14" xfId="0" applyNumberFormat="1" applyFont="1" applyFill="1" applyBorder="1" applyAlignment="1">
      <x:alignment vertical="center" wrapText="0"/>
    </x:xf>
    <x:xf numFmtId="202" fontId="11" fillId="3" borderId="14" xfId="0" applyNumberFormat="1" applyFont="1" applyFill="1" applyBorder="1" applyAlignment="1">
      <x:alignment vertical="center" wrapText="0"/>
    </x:xf>
    <x:xf numFmtId="0" fontId="3" fillId="3" borderId="14" xfId="0" applyNumberFormat="1" applyFont="1" applyFill="1" applyBorder="1" applyAlignment="1">
      <x:alignment vertical="center" wrapText="0"/>
    </x:xf>
    <x:xf numFmtId="202" fontId="3" fillId="3" borderId="14" xfId="0" applyNumberFormat="1" applyFont="1" applyFill="1" applyBorder="1" applyAlignment="1">
      <x:alignment vertical="center" wrapText="0"/>
    </x:xf>
    <x:xf numFmtId="203" fontId="3" fillId="3" borderId="14" xfId="0" applyNumberFormat="1" applyFont="1" applyFill="1" applyBorder="1" applyAlignment="1">
      <x:alignment vertical="center" wrapText="0"/>
    </x:xf>
    <x:xf numFmtId="204" fontId="11" fillId="0" borderId="14" xfId="0" applyNumberFormat="1" applyFont="1" applyFill="1" applyBorder="1" applyAlignment="1">
      <x:alignment vertical="center" wrapText="0"/>
    </x:xf>
    <x:xf numFmtId="202" fontId="11" fillId="4" borderId="14" xfId="0" applyNumberFormat="1" applyFont="1" applyFill="1" applyBorder="1" applyAlignment="1">
      <x:alignment vertical="center" wrapText="0"/>
    </x:xf>
    <x:xf numFmtId="204" fontId="11" fillId="4" borderId="14" xfId="0" applyNumberFormat="1" applyFont="1" applyFill="1" applyBorder="1" applyAlignment="1">
      <x:alignment vertical="center" wrapText="0"/>
    </x:xf>
    <x:xf numFmtId="204" fontId="13" fillId="4" borderId="14" xfId="0" applyNumberFormat="1" applyFont="1" applyFill="1" applyBorder="1" applyAlignment="1">
      <x:alignment vertical="center" wrapText="0"/>
    </x:xf>
    <x:xf numFmtId="204" fontId="13" fillId="3" borderId="14" xfId="0" applyNumberFormat="1" applyFont="1" applyFill="1" applyBorder="1" applyAlignment="1">
      <x:alignment vertical="center" wrapText="0"/>
    </x:xf>
    <x:xf numFmtId="204" fontId="3" fillId="3" borderId="14" xfId="0" applyNumberFormat="1" applyFont="1" applyFill="1" applyBorder="1" applyAlignment="1">
      <x:alignment vertical="center" wrapText="0"/>
    </x:xf>
    <x:xf numFmtId="202" fontId="11" fillId="0" borderId="14" xfId="0" applyNumberFormat="1" applyFont="1" applyFill="1" applyBorder="1" applyAlignment="1">
      <x:alignment vertical="center" wrapText="1"/>
    </x:xf>
    <x:xf numFmtId="204" fontId="11" fillId="0" borderId="14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14" xfId="0" applyNumberFormat="1" applyFont="1" applyFill="1" applyBorder="1"/>
    <x:xf numFmtId="0" fontId="14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14" xfId="0" applyNumberFormat="1" applyFont="1" applyFill="1" applyBorder="1" applyAlignment="1">
      <x:alignment wrapText="0"/>
    </x:xf>
    <x:xf numFmtId="0" fontId="14" fillId="0" borderId="14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14" xfId="0" applyNumberFormat="1" applyFont="1" applyFill="1" applyBorder="1" applyAlignment="1">
      <x:alignment vertical="center" wrapText="0"/>
    </x:xf>
    <x:xf numFmtId="0" fontId="14" fillId="0" borderId="14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4" fillId="0" borderId="14" xfId="0" applyNumberFormat="1" applyFont="1" applyFill="1" applyBorder="1" applyAlignment="1">
      <x:alignment vertical="center" wrapText="0"/>
    </x:xf>
    <x:xf numFmtId="202" fontId="14" fillId="0" borderId="14" xfId="0" applyNumberFormat="1" applyFont="1" applyFill="1" applyBorder="1" applyAlignment="1">
      <x:alignment vertical="center" wrapText="0"/>
    </x:xf>
    <x:xf numFmtId="203" fontId="14" fillId="0" borderId="14" xfId="0" applyNumberFormat="1" applyFont="1" applyFill="1" applyBorder="1" applyAlignment="1">
      <x:alignment vertical="center" wrapText="0"/>
    </x:xf>
    <x:xf numFmtId="205" fontId="14" fillId="0" borderId="14" xfId="0" applyNumberFormat="1" applyFont="1" applyFill="1" applyBorder="1" applyAlignment="1">
      <x:alignment vertical="center" wrapText="0"/>
    </x:xf>
    <x:xf numFmtId="203" fontId="14" fillId="0" borderId="14" xfId="0" applyNumberFormat="1" applyFont="1" applyFill="1" applyBorder="1" applyAlignment="1">
      <x:alignment vertical="center" wrapText="1"/>
    </x:xf>
    <x:xf numFmtId="0" fontId="14" fillId="0" borderId="14" xfId="0" applyNumberFormat="1" applyFont="1" applyFill="1" applyBorder="1" applyAlignment="1">
      <x:alignment vertical="center" wrapText="1"/>
    </x:xf>
    <x:xf numFmtId="203" fontId="11" fillId="0" borderId="14" xfId="0" applyNumberFormat="1" applyFont="1" applyFill="1" applyBorder="1" applyAlignment="1">
      <x:alignment vertical="center" wrapText="1"/>
    </x:xf>
    <x:xf numFmtId="201" fontId="11" fillId="0" borderId="1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14" fillId="0" borderId="14" xfId="0" applyNumberFormat="1" applyFont="1" applyFill="1" applyBorder="1" applyAlignment="1">
      <x:alignment wrapText="1"/>
    </x:xf>
    <x:xf numFmtId="0" fontId="14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1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3" fillId="0" borderId="14" xfId="0" applyNumberFormat="1" applyFont="1" applyFill="1" applyBorder="1" applyAlignment="1">
      <x:alignment vertical="center" wrapText="0"/>
    </x:xf>
    <x:xf numFmtId="204" fontId="13" fillId="0" borderId="14" xfId="0" applyNumberFormat="1" applyFont="1" applyFill="1" applyBorder="1" applyAlignment="1">
      <x:alignment vertical="center" wrapText="0"/>
    </x:xf>
    <x:xf numFmtId="205" fontId="11" fillId="0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a225a2a1a4bcb" /><Relationship Type="http://schemas.openxmlformats.org/officeDocument/2006/relationships/theme" Target="/xl/theme/theme1.xml" Id="Rf5de84f4aa7c4163" /><Relationship Type="http://schemas.microsoft.com/office/2022/11/relationships/FeaturePropertyBag" Target="/xl/featurePropertyBag/featurePropertyBag.xml" Id="R07862d4e08ff4cf7" /><Relationship Type="http://schemas.openxmlformats.org/officeDocument/2006/relationships/sharedStrings" Target="/xl/sharedStrings.xml" Id="R35d0f9701db94cfc" /><Relationship Type="http://schemas.openxmlformats.org/officeDocument/2006/relationships/worksheet" Target="/xl/worksheets/sheet1.xml" Id="R6f55c1f7fa32431f" /><Relationship Type="http://schemas.openxmlformats.org/officeDocument/2006/relationships/worksheet" Target="/xl/worksheets/sheet2.xml" Id="R637eb651800243d1" /><Relationship Type="http://schemas.openxmlformats.org/officeDocument/2006/relationships/worksheet" Target="/xl/worksheets/sheet3.xml" Id="R0cfd111e969e4754" /><Relationship Type="http://schemas.openxmlformats.org/officeDocument/2006/relationships/worksheet" Target="/xl/worksheets/sheet4.xml" Id="Re6d589e77d20435a" /><Relationship Type="http://schemas.openxmlformats.org/officeDocument/2006/relationships/worksheet" Target="/xl/worksheets/sheet5.xml" Id="Re876f5903c8d4072" /><Relationship Type="http://schemas.openxmlformats.org/officeDocument/2006/relationships/worksheet" Target="/xl/worksheets/sheet6.xml" Id="Rfb8c34b3896e46c3" /><Relationship Type="http://schemas.openxmlformats.org/officeDocument/2006/relationships/worksheet" Target="/xl/worksheets/sheet7.xml" Id="Rb44cf42e526f4a94" /><Relationship Type="http://schemas.openxmlformats.org/officeDocument/2006/relationships/worksheet" Target="/xl/worksheets/sheet8.xml" Id="Rabf911da85034c27" /><Relationship Type="http://schemas.openxmlformats.org/officeDocument/2006/relationships/worksheet" Target="/xl/worksheets/sheet9.xml" Id="R2fd5a072e82c4045" /><Relationship Type="http://schemas.openxmlformats.org/officeDocument/2006/relationships/worksheet" Target="/xl/worksheets/sheet10.xml" Id="R9f6ed9f57c894f63" /><Relationship Type="http://schemas.openxmlformats.org/officeDocument/2006/relationships/worksheet" Target="/xl/worksheets/sheet11.xml" Id="R975e834fbb3148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0" name="PublicationCohortYieldTable" displayName="PublicationCohortYieldTable" ref="A4:H11" headerRowCount="1" totalsRowCount="0" totalsRowShown="0">
  <x:autoFilter ref="A4:H11"/>
  <x:tableColumns count="8">
    <x:tableColumn id="1" name="target_name"/>
    <x:tableColumn id="2" name="raw_T0.5_n"/>
    <x:tableColumn id="3" name="methylated_n"/>
    <x:tableColumn id="4" name="methylated_fraction"/>
    <x:tableColumn id="5" name="joint_lt3_n"/>
    <x:tableColumn id="6" name="raw_yield_lt3"/>
    <x:tableColumn id="7" name="joint_lt5_n"/>
    <x:tableColumn id="8" name="raw_yield_lt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PublicationRmsdOutcomeTable" displayName="PublicationRmsdOutcomeTable" ref="A4:F11" headerRowCount="1" totalsRowCount="0" totalsRowShown="0">
  <x:autoFilter ref="A4:F11"/>
  <x:tableColumns count="6">
    <x:tableColumn id="1" name="target_name"/>
    <x:tableColumn id="2" name="retained_n"/>
    <x:tableColumn id="3" name="global_CA_RMSD_A_median_[IQR]"/>
    <x:tableColumn id="4" name="peptide_CA_RMSD_A_median_[IQR]"/>
    <x:tableColumn id="5" name="joint_lt3_n_(%)_[Wilson95CI]"/>
    <x:tableColumn id="6" name="joint_lt5_n_(%)_[Wilson95CI]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PublicationSelectedRepresentativeTable" displayName="PublicationSelectedRepresentativeTable" ref="A4:I10" headerRowCount="1" totalsRowCount="0" totalsRowShown="0">
  <x:autoFilter ref="A4:I10"/>
  <x:tableColumns count="9">
    <x:tableColumn id="1" name="target_name"/>
    <x:tableColumn id="2" name="design_seq"/>
    <x:tableColumn id="3" name="methyl_positions_1based"/>
    <x:tableColumn id="4" name="global_CA_RMSD_A"/>
    <x:tableColumn id="5" name="best_forward_peptide_CA_RMSD_A"/>
    <x:tableColumn id="6" name="permeability_pred"/>
    <x:tableColumn id="7" name="fixed_pose_interface_energy_REU"/>
    <x:tableColumn id="8" name="highfold_ca_bfactor_mean"/>
    <x:tableColumn id="9" name="selection_sco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CohortTable" displayName="CohortTable" ref="A4:P11" headerRowCount="1" totalsRowCount="0" totalsRowShown="0">
  <x:autoFilter ref="A4:P11"/>
  <x:tableColumns count="16">
    <x:tableColumn id="1" name="target_name"/>
    <x:tableColumn id="2" name="raw_primary_t05"/>
    <x:tableColumn id="3" name="methylated_t05_thr_gt_0_6"/>
    <x:tableColumn id="4" name="unmethylated_formula"/>
    <x:tableColumn id="5" name="methylated_fraction_formula"/>
    <x:tableColumn id="6" name="unique_exact_methylated"/>
    <x:tableColumn id="7" name="unique_naturalized_methylated"/>
    <x:tableColumn id="8" name="total_methyl_marks"/>
    <x:tableColumn id="9" name="methyl_count_mean"/>
    <x:tableColumn id="10" name="methyl_count_median"/>
    <x:tableColumn id="11" name="natural_aa_recovery_mean"/>
    <x:tableColumn id="12" name="natural_aa_recovery_median"/>
    <x:tableColumn id="13" name="structure_rmsd_coverage_n"/>
    <x:tableColumn id="14" name="structure_rmsd_coverage_fraction"/>
    <x:tableColumn id="15" name="pdb_sequence_exact_match_n"/>
    <x:tableColumn id="16" name="complete_peptide_ca_pairing_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RmsdPrimaryTable" displayName="RmsdPrimaryTable" ref="A4:AC11" headerRowCount="1" totalsRowCount="0" totalsRowShown="0">
  <x:autoFilter ref="A4:AC11"/>
  <x:tableColumns count="29">
    <x:tableColumn id="1" name="target_name"/>
    <x:tableColumn id="2" name="n"/>
    <x:tableColumn id="3" name="global_mean_A"/>
    <x:tableColumn id="4" name="global_median_A"/>
    <x:tableColumn id="5" name="global_q1_A"/>
    <x:tableColumn id="6" name="global_q3_A"/>
    <x:tableColumn id="7" name="cyclic_mean_A"/>
    <x:tableColumn id="8" name="cyclic_median_A"/>
    <x:tableColumn id="9" name="cyclic_q1_A"/>
    <x:tableColumn id="10" name="cyclic_q3_A"/>
    <x:tableColumn id="11" name="global_lt3_n"/>
    <x:tableColumn id="12" name="global_lt3_rate_formula"/>
    <x:tableColumn id="13" name="global_lt5_n"/>
    <x:tableColumn id="14" name="global_lt5_rate_formula"/>
    <x:tableColumn id="15" name="cyclic_lt3_n"/>
    <x:tableColumn id="16" name="cyclic_lt3_rate_formula"/>
    <x:tableColumn id="17" name="cyclic_lt5_n"/>
    <x:tableColumn id="18" name="cyclic_lt5_rate_formula"/>
    <x:tableColumn id="19" name="joint_lt3_n"/>
    <x:tableColumn id="20" name="joint_lt3_rate_formula"/>
    <x:tableColumn id="21" name="joint_lt3_wilson95_low"/>
    <x:tableColumn id="22" name="joint_lt3_wilson95_high"/>
    <x:tableColumn id="23" name="joint_lt5_n"/>
    <x:tableColumn id="24" name="joint_lt5_rate_formula"/>
    <x:tableColumn id="25" name="joint_lt5_wilson95_low"/>
    <x:tableColumn id="26" name="joint_lt5_wilson95_high"/>
    <x:tableColumn id="27" name="raw_primary_t05"/>
    <x:tableColumn id="28" name="end_to_end_raw_yield_lt3_formula"/>
    <x:tableColumn id="29" name="end_to_end_raw_yield_lt5_formul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msdPooledMacroTable" displayName="RmsdPooledMacroTable" ref="A14:E17" headerRowCount="1" totalsRowCount="0" totalsRowShown="0">
  <x:autoFilter ref="A14:E17"/>
  <x:tableColumns count="5">
    <x:tableColumn id="1" name="summary_type"/>
    <x:tableColumn id="2" name="joint_lt3_rate"/>
    <x:tableColumn id="3" name="joint_lt5_rate"/>
    <x:tableColumn id="4" name="denominator"/>
    <x:tableColumn id="5" name="not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" name="SelectedSixTable" displayName="SelectedSixTable" ref="A4:AD10" headerRowCount="1" totalsRowCount="0" totalsRowShown="0">
  <x:autoFilter ref="A4:AD10"/>
  <x:tableColumns count="30">
    <x:tableColumn id="1" name="target_name"/>
    <x:tableColumn id="2" name="temperature"/>
    <x:tableColumn id="3" name="native_seq"/>
    <x:tableColumn id="4" name="design_seq"/>
    <x:tableColumn id="5" name="design_natural_seq"/>
    <x:tableColumn id="6" name="design_length"/>
    <x:tableColumn id="7" name="methyl_positions_1based"/>
    <x:tableColumn id="8" name="design_methyl_count"/>
    <x:tableColumn id="9" name="design_methyl_rate"/>
    <x:tableColumn id="10" name="natural_aa_recovery"/>
    <x:tableColumn id="11" name="pdb_file"/>
    <x:tableColumn id="12" name="global_complex_ca_rmsd"/>
    <x:tableColumn id="13" name="cyclic_peptide_ca_rmsd_after_global_complex_alignment_best_forward_cyclic_shift"/>
    <x:tableColumn id="14" name="cyclic_peptide_ca_rmsd_after_global_complex_alignment_fixed_order"/>
    <x:tableColumn id="15" name="cyclic_peptide_best_forward_cyclic_shift"/>
    <x:tableColumn id="16" name="highfold_ca_bfactor_mean"/>
    <x:tableColumn id="17" name="permeability_pred"/>
    <x:tableColumn id="18" name="permeability_log10_positive_only"/>
    <x:tableColumn id="19" name="rosetta_complex_score_per_residue"/>
    <x:tableColumn id="20" name="rosetta_cross_interface_energy_fixed_pose"/>
    <x:tableColumn id="21" name="rosetta_cross_interface_energy_per_peptide_residue"/>
    <x:tableColumn id="22" name="cross_interface_energy_lt_0"/>
    <x:tableColumn id="23" name="rmsd_status"/>
    <x:tableColumn id="24" name="methylation_site_rmsd_status"/>
    <x:tableColumn id="25" name="energy_status"/>
    <x:tableColumn id="26" name="energy_delta_status"/>
    <x:tableColumn id="27" name="binding_site_recovery_status"/>
    <x:tableColumn id="28" name="primary_rmsd_definition"/>
    <x:tableColumn id="29" name="selection_conditioned_oracle"/>
    <x:tableColumn id="30" name="selection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ModelPrimaryTable" displayName="ModelPrimaryTable" ref="A4:U8" headerRowCount="1" totalsRowCount="0" totalsRowShown="0">
  <x:autoFilter ref="A4:U8"/>
  <x:tableColumns count="21">
    <x:tableColumn id="1" name="dataset"/>
    <x:tableColumn id="2" name="ground_truth"/>
    <x:tableColumn id="3" name="task"/>
    <x:tableColumn id="4" name="positions"/>
    <x:tableColumn id="5" name="positives"/>
    <x:tableColumn id="6" name="negatives"/>
    <x:tableColumn id="7" name="base_recovery"/>
    <x:tableColumn id="8" name="auc"/>
    <x:tableColumn id="9" name="threshold"/>
    <x:tableColumn id="10" name="operator"/>
    <x:tableColumn id="11" name="accuracy"/>
    <x:tableColumn id="12" name="precision"/>
    <x:tableColumn id="13" name="recall"/>
    <x:tableColumn id="14" name="f1"/>
    <x:tableColumn id="15" name="false_positive_rate"/>
    <x:tableColumn id="16" name="pred_methyl_rate"/>
    <x:tableColumn id="17" name="tp"/>
    <x:tableColumn id="18" name="tn"/>
    <x:tableColumn id="19" name="fp"/>
    <x:tableColumn id="20" name="fn"/>
    <x:tableColumn id="21" name="reportabil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ModelHistoricalAuditTable" displayName="ModelHistoricalAuditTable" ref="A14:O16" headerRowCount="1" totalsRowCount="0" totalsRowShown="0">
  <x:autoFilter ref="A14:O16"/>
  <x:tableColumns count="15">
    <x:tableColumn id="1" name="phase"/>
    <x:tableColumn id="2" name="ground_truth"/>
    <x:tableColumn id="3" name="threshold"/>
    <x:tableColumn id="4" name="accuracy"/>
    <x:tableColumn id="5" name="precision"/>
    <x:tableColumn id="6" name="recall"/>
    <x:tableColumn id="7" name="f1"/>
    <x:tableColumn id="8" name="false_positive_rate"/>
    <x:tableColumn id="9" name="pred_methyl_rate"/>
    <x:tableColumn id="10" name="tp"/>
    <x:tableColumn id="11" name="tn"/>
    <x:tableColumn id="12" name="fp"/>
    <x:tableColumn id="13" name="fn"/>
    <x:tableColumn id="14" name="input_mode"/>
    <x:tableColumn id="15" name="task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7" name="AvailabilityTable" displayName="AvailabilityTable" ref="A4:D16" headerRowCount="1" totalsRowCount="0" totalsRowShown="0">
  <x:autoFilter ref="A4:D16"/>
  <x:tableColumns count="4">
    <x:tableColumn id="1" name="metric"/>
    <x:tableColumn id="2" name="available_n_of_6"/>
    <x:tableColumn id="3" name="status"/>
    <x:tableColumn id="4" name="paper_interpret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FigureIndexTable" displayName="FigureIndexTable" ref="A4:G9" headerRowCount="1" totalsRowCount="0" totalsRowShown="0">
  <x:autoFilter ref="A4:G9"/>
  <x:tableColumns count="7">
    <x:tableColumn id="1" name="figure_id"/>
    <x:tableColumn id="2" name="short_title"/>
    <x:tableColumn id="3" name="ready_to_use_caption"/>
    <x:tableColumn id="4" name="key_result_or_limit"/>
    <x:tableColumn id="5" name="pdf_path"/>
    <x:tableColumn id="6" name="svg_path"/>
    <x:tableColumn id="7" name="png_600dpi_path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SourceIndexTable" displayName="SourceIndexTable" ref="A4:E10" headerRowCount="1" totalsRowCount="0" totalsRowShown="0">
  <x:autoFilter ref="A4:E10"/>
  <x:tableColumns count="5">
    <x:tableColumn id="1" name="category"/>
    <x:tableColumn id="2" name="package_relative_locator"/>
    <x:tableColumn id="3" name="verified_at_analysis"/>
    <x:tableColumn id="4" name="size_bytes"/>
    <x:tableColumn id="5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0262aefad845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c835eb878449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abad3df15543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f4ad8d84d146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0133df71f7491d" /><Relationship Type="http://schemas.openxmlformats.org/officeDocument/2006/relationships/table" Target="/xl/tables/table6.xml" Id="R28e9bd2d40c643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185775c5fe345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ce814f8908e4f7d" /><Relationship Type="http://schemas.openxmlformats.org/officeDocument/2006/relationships/table" Target="/xl/tables/table9.xml" Id="R18be6c78b03e4a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406cd5f3abf241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77baf0ec493445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c79f08f794c646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4" hidden="0" customWidth="1"/>
    <x:col min="7" max="7" width="16" hidden="0" customWidth="1"/>
    <x:col min="8" max="8" width="16" hidden="0" customWidth="1"/>
    <x:col min="9" max="9" width="23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3" t="str">
        <x:v>Original frankenstein_v28.pt: six non-3AV complexes — paper-ready data package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Frozen scope: 1SFI, 3P8F, 3WNE, 3ZGC, 4K1E, and 4KEL; T=0.5; retained sequences require at least one saved methylation mark at confidence strictly &gt;0.6.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5" t="str">
        <x:v>PRIMARY T=0.5</x:v>
      </x:c>
      <x:c r="B4" s="16"/>
      <x:c r="C4" s="17"/>
      <x:c r="D4" s="51" t="str">
        <x:v>METHYLATED SEQUENCES</x:v>
      </x:c>
      <x:c r="E4" s="52"/>
      <x:c r="F4" s="53"/>
      <x:c r="G4" s="51" t="str">
        <x:v>JOINT RMSD &lt;3 Å</x:v>
      </x:c>
      <x:c r="H4" s="52"/>
      <x:c r="I4" s="53"/>
      <x:c r="J4" s="87" t="str">
        <x:v>JOINT RMSD &lt;5 Å</x:v>
      </x:c>
      <x:c r="K4" s="88"/>
      <x:c r="L4" s="89"/>
    </x:row>
    <x:row r="5">
      <x:c r="A5" s="37" t="n">
        <x:f>'Table1_Cohort'!$B$11</x:f>
        <x:v>544</x:v>
      </x:c>
      <x:c r="B5" s="38"/>
      <x:c r="C5" s="39"/>
      <x:c r="D5" s="73" t="n">
        <x:f>'Table1_Cohort'!$C$11</x:f>
        <x:v>476</x:v>
      </x:c>
      <x:c r="E5" s="74"/>
      <x:c r="F5" s="75"/>
      <x:c r="G5" s="73" t="n">
        <x:f>'Table2_RMSD'!$S$11</x:f>
        <x:v>16</x:v>
      </x:c>
      <x:c r="H5" s="74"/>
      <x:c r="I5" s="75"/>
      <x:c r="J5" s="109" t="n">
        <x:f>'Table2_RMSD'!$W$11</x:f>
        <x:v>101</x:v>
      </x:c>
      <x:c r="K5" s="110"/>
      <x:c r="L5" s="111"/>
    </x:row>
    <x:row r="6">
      <x:c r="A6" s="40"/>
      <x:c r="B6" s="41"/>
      <x:c r="C6" s="42"/>
      <x:c r="D6" s="76"/>
      <x:c r="E6" s="77"/>
      <x:c r="F6" s="78"/>
      <x:c r="G6" s="76"/>
      <x:c r="H6" s="77"/>
      <x:c r="I6" s="78"/>
      <x:c r="J6" s="112"/>
      <x:c r="K6" s="113"/>
      <x:c r="L6" s="114"/>
    </x:row>
    <x:row r="8" ht="52" customHeight="1">
      <x:c r="A8" s="122" t="str">
        <x:v>Paper denominator: 544 primary-directory T=0.5 sequences, of which 476 are methylated. End-to-end raw yields before methylation filtering are &lt;3 Å: 16/544 (2.94%) and &lt;5 Å: 101/544 (18.57%). The former 644/576 count included 100 duplicate 4KEL rows from .ipynb_checkpoints and must not be used.</x:v>
      </x:c>
      <x:c r="B8" s="123"/>
      <x:c r="C8" s="123"/>
      <x:c r="D8" s="123"/>
      <x:c r="E8" s="123"/>
      <x:c r="F8" s="123"/>
      <x:c r="G8" s="123"/>
      <x:c r="H8" s="123"/>
      <x:c r="I8" s="123"/>
      <x:c r="J8" s="123"/>
      <x:c r="K8" s="123"/>
      <x:c r="L8" s="124"/>
    </x:row>
    <x:row r="9" ht="42" customHeight="1">
      <x:c r="A9" s="132" t="str">
        <x:v>Primary RMSD rule: after one whole-complex CA alignment, both global RMSD and best-forward cyclic-shift peptide RMSD must be strictly below threshold. Reverse order and peptide-only refitting are forbidden.</x:v>
      </x:c>
      <x:c r="B9" s="133"/>
      <x:c r="C9" s="133"/>
      <x:c r="D9" s="133"/>
      <x:c r="E9" s="133"/>
      <x:c r="F9" s="133"/>
      <x:c r="G9" s="133"/>
      <x:c r="H9" s="133"/>
      <x:c r="I9" s="133"/>
      <x:c r="J9" s="133"/>
      <x:c r="K9" s="133"/>
      <x:c r="L9" s="134"/>
    </x:row>
    <x:row r="10" ht="38" customHeight="1">
      <x:c r="A10" s="142" t="str">
        <x:v>All 476 candidates match Shangge RMSD records one-to-one by target plus case-sensitive designed sequence. Decoded PDB sequence and complete final-chain CA pairing pass for every row.</x:v>
      </x:c>
      <x:c r="B10" s="143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ht="46" customHeight="1">
      <x:c r="A11" s="153" t="str">
        <x:v>3WNE contains identical native short chains C and D. The deterministic main rule uses final chain D, whereas legacy metadata points to C in 25/27 rows. Atomic pose sensitivity cannot be recomputed because coordinates are absent; retain this limitation in the paper.</x:v>
      </x:c>
      <x:c r="B11" s="154"/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5"/>
    </x:row>
    <x:row r="12" ht="42" customHeight="1">
      <x:c r="A12" s="164" t="str">
        <x:v>Paper-primary model metrics use Ser-provenance-corrected truth. Historical labels contain 62 provenance errors and are appendix-only. The 476 generated candidates lack experimental methylation truth, so accuracy/AUC/F1 are not computable for this cohort.</x:v>
      </x:c>
      <x:c r="B12" s="165"/>
      <x:c r="C12" s="165"/>
      <x:c r="D12" s="165"/>
      <x:c r="E12" s="165"/>
      <x:c r="F12" s="165"/>
      <x:c r="G12" s="165"/>
      <x:c r="H12" s="165"/>
      <x:c r="I12" s="165"/>
      <x:c r="J12" s="165"/>
      <x:c r="K12" s="165"/>
      <x:c r="L12" s="166"/>
    </x:row>
    <x:row r="14" ht="38" customHeight="1">
      <x:c r="A14" s="172" t="str">
        <x:v>Parameter</x:v>
      </x:c>
      <x:c r="B14" s="172" t="str">
        <x:v>Value</x:v>
      </x:c>
      <x:c r="C14" s="172" t="str">
        <x:v>Operator</x:v>
      </x:c>
      <x:c r="D14" s="172" t="str">
        <x:v>Paper interpretation</x:v>
      </x:c>
      <x:c r="G14" s="184" t="str">
        <x:v>Sheet — Contents</x:v>
      </x:c>
      <x:c r="H14" s="184"/>
      <x:c r="I14" s="184"/>
      <x:c r="J14" s="184"/>
      <x:c r="K14" s="184"/>
      <x:c r="L14" s="184"/>
    </x:row>
    <x:row r="15">
      <x:c r="A15" s="176" t="str">
        <x:v>Checkpoint SHA-256</x:v>
      </x:c>
      <x:c r="B15" s="177" t="str">
        <x:v>bab7b8a010114fc52c749fab1914d9d8ae561ddca45d6d7a0fbec3f9f5ac5b2e</x:v>
      </x:c>
      <x:c r="C15" s="176" t="str">
        <x:v>exact identity</x:v>
      </x:c>
      <x:c r="D15" s="176" t="str">
        <x:v>Original pre-modification frankenstein_v28.pt</x:v>
      </x:c>
      <x:c r="G15" s="188" t="str">
        <x:v>Pub_Table1</x:v>
      </x:c>
      <x:c r="H15" s="188"/>
      <x:c r="I15" s="188" t="str">
        <x:v>Compact paper table: raw cohort, methylation retention, and end-to-end raw yields</x:v>
      </x:c>
      <x:c r="J15" s="188"/>
      <x:c r="K15" s="188"/>
      <x:c r="L15" s="188"/>
    </x:row>
    <x:row r="16">
      <x:c r="A16" s="176" t="str">
        <x:v>Sampling temperature</x:v>
      </x:c>
      <x:c r="B16" s="178" t="n">
        <x:v>0.5</x:v>
      </x:c>
      <x:c r="C16" s="176" t="str">
        <x:v>equals</x:v>
      </x:c>
      <x:c r="D16" s="176" t="str">
        <x:v>T=0.5 only</x:v>
      </x:c>
      <x:c r="G16" s="188" t="str">
        <x:v>Pub_Table2</x:v>
      </x:c>
      <x:c r="H16" s="188"/>
      <x:c r="I16" s="188" t="str">
        <x:v>Compact paper table: RMSD medians/IQR and joint pass rates with Wilson 95% CI</x:v>
      </x:c>
      <x:c r="J16" s="188"/>
      <x:c r="K16" s="188"/>
      <x:c r="L16" s="188"/>
    </x:row>
    <x:row r="17">
      <x:c r="A17" s="176" t="str">
        <x:v>Methyl confidence</x:v>
      </x:c>
      <x:c r="B17" s="178" t="n">
        <x:v>0.6</x:v>
      </x:c>
      <x:c r="C17" s="176" t="str">
        <x:v>&gt;</x:v>
      </x:c>
      <x:c r="D17" s="176" t="str">
        <x:v>At least one saved lowercase methylation mark</x:v>
      </x:c>
      <x:c r="G17" s="188" t="str">
        <x:v>Pub_Table3</x:v>
      </x:c>
      <x:c r="H17" s="188"/>
      <x:c r="I17" s="188" t="str">
        <x:v>Compact paper table: six selected representatives and key downstream metrics</x:v>
      </x:c>
      <x:c r="J17" s="188"/>
      <x:c r="K17" s="188"/>
      <x:c r="L17" s="188"/>
    </x:row>
    <x:row r="18">
      <x:c r="A18" s="176" t="str">
        <x:v>Primary RMSD threshold</x:v>
      </x:c>
      <x:c r="B18" s="178" t="n">
        <x:v>3</x:v>
      </x:c>
      <x:c r="C18" s="176" t="str">
        <x:v>&lt;</x:v>
      </x:c>
      <x:c r="D18" s="176" t="str">
        <x:v>Global and cyclic criteria both pass</x:v>
      </x:c>
      <x:c r="G18" s="188" t="str">
        <x:v>Table1_Cohort</x:v>
      </x:c>
      <x:c r="H18" s="188"/>
      <x:c r="I18" s="188" t="str">
        <x:v>Supplementary wide table: T=0.5 funnel, retention, uniqueness, and QC</x:v>
      </x:c>
      <x:c r="J18" s="188"/>
      <x:c r="K18" s="188"/>
      <x:c r="L18" s="188"/>
    </x:row>
    <x:row r="19">
      <x:c r="A19" s="176" t="str">
        <x:v>Secondary RMSD threshold</x:v>
      </x:c>
      <x:c r="B19" s="178" t="n">
        <x:v>5</x:v>
      </x:c>
      <x:c r="C19" s="176" t="str">
        <x:v>&lt;</x:v>
      </x:c>
      <x:c r="D19" s="176" t="str">
        <x:v>Global and cyclic criteria both pass</x:v>
      </x:c>
      <x:c r="G19" s="188" t="str">
        <x:v>Table2_RMSD</x:v>
      </x:c>
      <x:c r="H19" s="188"/>
      <x:c r="I19" s="188" t="str">
        <x:v>Supplementary wide table: global/cyclic/joint RMSD, Wilson CI, and raw yields</x:v>
      </x:c>
      <x:c r="J19" s="188"/>
      <x:c r="K19" s="188"/>
      <x:c r="L19" s="188"/>
    </x:row>
    <x:row r="20">
      <x:c r="A20" s="176" t="str">
        <x:v>Cyclic representation</x:v>
      </x:c>
      <x:c r="B20" s="177" t="str">
        <x:v>best forward shift</x:v>
      </x:c>
      <x:c r="C20" s="176" t="str">
        <x:v>no reverse</x:v>
      </x:c>
      <x:c r="D20" s="176" t="str">
        <x:v>Same global fit; no peptide-only refit</x:v>
      </x:c>
      <x:c r="G20" s="188" t="str">
        <x:v>Table3_Selected6</x:v>
      </x:c>
      <x:c r="H20" s="188"/>
      <x:c r="I20" s="188" t="str">
        <x:v>Supplementary wide table: all fields for one RMSD-minimum representative per target</x:v>
      </x:c>
      <x:c r="J20" s="188"/>
      <x:c r="K20" s="188"/>
      <x:c r="L20" s="188"/>
    </x:row>
    <x:row r="21">
      <x:c r="G21" s="188" t="str">
        <x:v>Table4_Model</x:v>
      </x:c>
      <x:c r="H21" s="188"/>
      <x:c r="I21" s="188" t="str">
        <x:v>Corrected-truth primary metrics and historical-label audit</x:v>
      </x:c>
      <x:c r="J21" s="188"/>
      <x:c r="K21" s="188"/>
      <x:c r="L21" s="188"/>
    </x:row>
    <x:row r="22">
      <x:c r="G22" s="188" t="str">
        <x:v>Table5_Availability</x:v>
      </x:c>
      <x:c r="H22" s="188"/>
      <x:c r="I22" s="188" t="str">
        <x:v>Metric availability and non-reportable items</x:v>
      </x:c>
      <x:c r="J22" s="188"/>
      <x:c r="K22" s="188"/>
      <x:c r="L22" s="188"/>
    </x:row>
    <x:row r="23">
      <x:c r="G23" s="188" t="str">
        <x:v>Figure_Index</x:v>
      </x:c>
      <x:c r="H23" s="188"/>
      <x:c r="I23" s="188" t="str">
        <x:v>Five figures in 600-dpi PNG plus vector PDF/SVG with captions</x:v>
      </x:c>
      <x:c r="J23" s="188"/>
      <x:c r="K23" s="188"/>
      <x:c r="L23" s="188"/>
    </x:row>
    <x:row r="24">
      <x:c r="G24" s="188" t="str">
        <x:v>Source_Index</x:v>
      </x:c>
      <x:c r="H24" s="188"/>
      <x:c r="I24" s="188" t="str">
        <x:v>Package-relative external-source locators, sizes, and SHA-256</x:v>
      </x:c>
      <x:c r="J24" s="188"/>
      <x:c r="K24" s="188"/>
      <x:c r="L24" s="188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L8"/>
    <x:mergeCell ref="A9:L9"/>
    <x:mergeCell ref="A10:L10"/>
    <x:mergeCell ref="A11:L11"/>
    <x:mergeCell ref="A12:L12"/>
    <x:mergeCell ref="G14:L14"/>
    <x:mergeCell ref="G15:H15"/>
    <x:mergeCell ref="I15:L15"/>
    <x:mergeCell ref="G16:H16"/>
    <x:mergeCell ref="I16:L16"/>
    <x:mergeCell ref="G17:H17"/>
    <x:mergeCell ref="I17:L17"/>
    <x:mergeCell ref="G18:H18"/>
    <x:mergeCell ref="I18:L18"/>
    <x:mergeCell ref="G19:H19"/>
    <x:mergeCell ref="I19:L19"/>
    <x:mergeCell ref="G20:H20"/>
    <x:mergeCell ref="I20:L20"/>
    <x:mergeCell ref="G21:H21"/>
    <x:mergeCell ref="I21:L21"/>
    <x:mergeCell ref="G22:H22"/>
    <x:mergeCell ref="I22:L22"/>
    <x:mergeCell ref="G23:H23"/>
    <x:mergeCell ref="I23:L23"/>
    <x:mergeCell ref="G24:H24"/>
    <x:mergeCell ref="I24:L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7" hidden="0" customWidth="1"/>
    <x:col min="7" max="7" width="14" hidden="0" customWidth="1"/>
    <x:col min="8" max="8" width="17" hidden="0" customWidth="1"/>
  </x:cols>
  <x:sheetData>
    <x:row r="1" ht="34" customHeight="1">
      <x:c r="A1" s="3" t="str">
        <x:v>Publication Table 1. Cohort and end-to-end raw yield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Raw yield uses all primary-directory T=0.5 sequences as denominator, before the required methylation-retention gate.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72" t="str">
        <x:v>target_name</x:v>
      </x:c>
      <x:c r="B4" s="172" t="str">
        <x:v>raw_T0.5_n</x:v>
      </x:c>
      <x:c r="C4" s="172" t="str">
        <x:v>methylated_n</x:v>
      </x:c>
      <x:c r="D4" s="172" t="str">
        <x:v>methylated_fraction</x:v>
      </x:c>
      <x:c r="E4" s="172" t="str">
        <x:v>joint_lt3_n</x:v>
      </x:c>
      <x:c r="F4" s="172" t="str">
        <x:v>raw_yield_lt3</x:v>
      </x:c>
      <x:c r="G4" s="172" t="str">
        <x:v>joint_lt5_n</x:v>
      </x:c>
      <x:c r="H4" s="172" t="str">
        <x:v>raw_yield_lt5</x:v>
      </x:c>
    </x:row>
    <x:row r="5">
      <x:c r="A5" s="190" t="str">
        <x:v>1SFI</x:v>
      </x:c>
      <x:c r="B5" s="191" t="n">
        <x:f>'Table1_Cohort'!B5</x:f>
        <x:v>100</x:v>
      </x:c>
      <x:c r="C5" s="191" t="n">
        <x:f>'Table1_Cohort'!C5</x:f>
        <x:v>100</x:v>
      </x:c>
      <x:c r="D5" s="233" t="n">
        <x:f>'Table1_Cohort'!E5</x:f>
        <x:v>1</x:v>
      </x:c>
      <x:c r="E5" s="191" t="n">
        <x:f>'Table2_RMSD'!S5</x:f>
        <x:v>1</x:v>
      </x:c>
      <x:c r="F5" s="234" t="n">
        <x:f>'Table2_RMSD'!AB5</x:f>
        <x:v>0.01</x:v>
      </x:c>
      <x:c r="G5" s="191" t="n">
        <x:f>'Table2_RMSD'!W5</x:f>
        <x:v>19</x:v>
      </x:c>
      <x:c r="H5" s="234" t="n">
        <x:f>'Table2_RMSD'!AC5</x:f>
        <x:v>0.19</x:v>
      </x:c>
    </x:row>
    <x:row r="6">
      <x:c r="A6" s="190" t="str">
        <x:v>3P8F</x:v>
      </x:c>
      <x:c r="B6" s="191" t="n">
        <x:f>'Table1_Cohort'!B6</x:f>
        <x:v>100</x:v>
      </x:c>
      <x:c r="C6" s="191" t="n">
        <x:f>'Table1_Cohort'!C6</x:f>
        <x:v>100</x:v>
      </x:c>
      <x:c r="D6" s="233" t="n">
        <x:f>'Table1_Cohort'!E6</x:f>
        <x:v>1</x:v>
      </x:c>
      <x:c r="E6" s="191" t="n">
        <x:f>'Table2_RMSD'!S6</x:f>
        <x:v>2</x:v>
      </x:c>
      <x:c r="F6" s="234" t="n">
        <x:f>'Table2_RMSD'!AB6</x:f>
        <x:v>0.02</x:v>
      </x:c>
      <x:c r="G6" s="191" t="n">
        <x:f>'Table2_RMSD'!W6</x:f>
        <x:v>20</x:v>
      </x:c>
      <x:c r="H6" s="234" t="n">
        <x:f>'Table2_RMSD'!AC6</x:f>
        <x:v>0.2</x:v>
      </x:c>
    </x:row>
    <x:row r="7">
      <x:c r="A7" s="190" t="str">
        <x:v>3WNE</x:v>
      </x:c>
      <x:c r="B7" s="191" t="n">
        <x:f>'Table1_Cohort'!B7</x:f>
        <x:v>84</x:v>
      </x:c>
      <x:c r="C7" s="191" t="n">
        <x:f>'Table1_Cohort'!C7</x:f>
        <x:v>27</x:v>
      </x:c>
      <x:c r="D7" s="233" t="n">
        <x:f>'Table1_Cohort'!E7</x:f>
        <x:v>0.32142857142857145</x:v>
      </x:c>
      <x:c r="E7" s="191" t="n">
        <x:f>'Table2_RMSD'!S7</x:f>
        <x:v>3</x:v>
      </x:c>
      <x:c r="F7" s="234" t="n">
        <x:f>'Table2_RMSD'!AB7</x:f>
        <x:v>0.03571428571428571</x:v>
      </x:c>
      <x:c r="G7" s="191" t="n">
        <x:f>'Table2_RMSD'!W7</x:f>
        <x:v>5</x:v>
      </x:c>
      <x:c r="H7" s="234" t="n">
        <x:f>'Table2_RMSD'!AC7</x:f>
        <x:v>0.05952380952380952</x:v>
      </x:c>
    </x:row>
    <x:row r="8">
      <x:c r="A8" s="190" t="str">
        <x:v>3ZGC</x:v>
      </x:c>
      <x:c r="B8" s="191" t="n">
        <x:f>'Table1_Cohort'!B8</x:f>
        <x:v>60</x:v>
      </x:c>
      <x:c r="C8" s="191" t="n">
        <x:f>'Table1_Cohort'!C8</x:f>
        <x:v>49</x:v>
      </x:c>
      <x:c r="D8" s="233" t="n">
        <x:f>'Table1_Cohort'!E8</x:f>
        <x:v>0.8166666666666667</x:v>
      </x:c>
      <x:c r="E8" s="191" t="n">
        <x:f>'Table2_RMSD'!S8</x:f>
        <x:v>2</x:v>
      </x:c>
      <x:c r="F8" s="234" t="n">
        <x:f>'Table2_RMSD'!AB8</x:f>
        <x:v>0.03333333333333333</x:v>
      </x:c>
      <x:c r="G8" s="191" t="n">
        <x:f>'Table2_RMSD'!W8</x:f>
        <x:v>23</x:v>
      </x:c>
      <x:c r="H8" s="234" t="n">
        <x:f>'Table2_RMSD'!AC8</x:f>
        <x:v>0.38333333333333336</x:v>
      </x:c>
    </x:row>
    <x:row r="9">
      <x:c r="A9" s="190" t="str">
        <x:v>4K1E</x:v>
      </x:c>
      <x:c r="B9" s="191" t="n">
        <x:f>'Table1_Cohort'!B9</x:f>
        <x:v>100</x:v>
      </x:c>
      <x:c r="C9" s="191" t="n">
        <x:f>'Table1_Cohort'!C9</x:f>
        <x:v>100</x:v>
      </x:c>
      <x:c r="D9" s="233" t="n">
        <x:f>'Table1_Cohort'!E9</x:f>
        <x:v>1</x:v>
      </x:c>
      <x:c r="E9" s="191" t="n">
        <x:f>'Table2_RMSD'!S9</x:f>
        <x:v>6</x:v>
      </x:c>
      <x:c r="F9" s="234" t="n">
        <x:f>'Table2_RMSD'!AB9</x:f>
        <x:v>0.06</x:v>
      </x:c>
      <x:c r="G9" s="191" t="n">
        <x:f>'Table2_RMSD'!W9</x:f>
        <x:v>24</x:v>
      </x:c>
      <x:c r="H9" s="234" t="n">
        <x:f>'Table2_RMSD'!AC9</x:f>
        <x:v>0.24</x:v>
      </x:c>
    </x:row>
    <x:row r="10">
      <x:c r="A10" s="190" t="str">
        <x:v>4KEL</x:v>
      </x:c>
      <x:c r="B10" s="191" t="n">
        <x:f>'Table1_Cohort'!B10</x:f>
        <x:v>100</x:v>
      </x:c>
      <x:c r="C10" s="191" t="n">
        <x:f>'Table1_Cohort'!C10</x:f>
        <x:v>100</x:v>
      </x:c>
      <x:c r="D10" s="233" t="n">
        <x:f>'Table1_Cohort'!E10</x:f>
        <x:v>1</x:v>
      </x:c>
      <x:c r="E10" s="191" t="n">
        <x:f>'Table2_RMSD'!S10</x:f>
        <x:v>2</x:v>
      </x:c>
      <x:c r="F10" s="234" t="n">
        <x:f>'Table2_RMSD'!AB10</x:f>
        <x:v>0.02</x:v>
      </x:c>
      <x:c r="G10" s="191" t="n">
        <x:f>'Table2_RMSD'!W10</x:f>
        <x:v>10</x:v>
      </x:c>
      <x:c r="H10" s="234" t="n">
        <x:f>'Table2_RMSD'!AC10</x:f>
        <x:v>0.1</x:v>
      </x:c>
    </x:row>
    <x:row r="11">
      <x:c r="A11" s="201" t="str">
        <x:v>OVERALL</x:v>
      </x:c>
      <x:c r="B11" s="201" t="n">
        <x:f>'Table1_Cohort'!B11</x:f>
        <x:v>544</x:v>
      </x:c>
      <x:c r="C11" s="201" t="n">
        <x:f>'Table1_Cohort'!C11</x:f>
        <x:v>476</x:v>
      </x:c>
      <x:c r="D11" s="202" t="n">
        <x:f>'Table1_Cohort'!E11</x:f>
        <x:v>0.875</x:v>
      </x:c>
      <x:c r="E11" s="201" t="n">
        <x:f>'Table2_RMSD'!S11</x:f>
        <x:v>16</x:v>
      </x:c>
      <x:c r="F11" s="209" t="n">
        <x:f>'Table2_RMSD'!AB11</x:f>
        <x:v>0.029411764705882353</x:v>
      </x:c>
      <x:c r="G11" s="201" t="n">
        <x:f>'Table2_RMSD'!W11</x:f>
        <x:v>101</x:v>
      </x:c>
      <x:c r="H11" s="209" t="n">
        <x:f>'Table2_RMSD'!AC11</x:f>
        <x:v>0.18566176470588236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f0262aefad845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32" hidden="0" customWidth="1"/>
    <x:col min="5" max="5" width="31" hidden="0" customWidth="1"/>
    <x:col min="6" max="6" width="31" hidden="0" customWidth="1"/>
  </x:cols>
  <x:sheetData>
    <x:row r="1" ht="34" customHeight="1">
      <x:c r="A1" s="3" t="str">
        <x:v>Publication Table 2. RMSD outcomes</x:v>
      </x:c>
      <x:c r="B1" s="3"/>
      <x:c r="C1" s="3"/>
      <x:c r="D1" s="3"/>
      <x:c r="E1" s="3"/>
      <x:c r="F1" s="3"/>
    </x:row>
    <x:row r="2" ht="34" customHeight="1">
      <x:c r="A2" s="7" t="str">
        <x:v>RMSD is reported as median [IQR]; joint pass requires global-complex and best-forward cyclic-peptide RMSD to be strictly below the same threshold.</x:v>
      </x:c>
      <x:c r="B2" s="7"/>
      <x:c r="C2" s="7"/>
      <x:c r="D2" s="7"/>
      <x:c r="E2" s="7"/>
      <x:c r="F2" s="7"/>
    </x:row>
    <x:row r="4" ht="38" customHeight="1">
      <x:c r="A4" s="172" t="str">
        <x:v>target_name</x:v>
      </x:c>
      <x:c r="B4" s="172" t="str">
        <x:v>retained_n</x:v>
      </x:c>
      <x:c r="C4" s="172" t="str">
        <x:v>global_CA_RMSD_A_median_[IQR]</x:v>
      </x:c>
      <x:c r="D4" s="172" t="str">
        <x:v>peptide_CA_RMSD_A_median_[IQR]</x:v>
      </x:c>
      <x:c r="E4" s="172" t="str">
        <x:v>joint_lt3_n_(%)_[Wilson95CI]</x:v>
      </x:c>
      <x:c r="F4" s="172" t="str">
        <x:v>joint_lt5_n_(%)_[Wilson95CI]</x:v>
      </x:c>
    </x:row>
    <x:row r="5">
      <x:c r="A5" s="190" t="str">
        <x:v>1SFI</x:v>
      </x:c>
      <x:c r="B5" s="190" t="n">
        <x:v>100</x:v>
      </x:c>
      <x:c r="C5" s="190" t="str">
        <x:v>0.884 [0.581–1.457]</x:v>
      </x:c>
      <x:c r="D5" s="190" t="str">
        <x:v>6.289 [5.239–7.814]</x:v>
      </x:c>
      <x:c r="E5" s="190" t="str">
        <x:v>1 (1.00%) [0.18%–5.45%]</x:v>
      </x:c>
      <x:c r="F5" s="190" t="str">
        <x:v>19 (19.00%) [12.51%–27.78%]</x:v>
      </x:c>
    </x:row>
    <x:row r="6">
      <x:c r="A6" s="190" t="str">
        <x:v>3P8F</x:v>
      </x:c>
      <x:c r="B6" s="190" t="n">
        <x:v>100</x:v>
      </x:c>
      <x:c r="C6" s="190" t="str">
        <x:v>0.981 [0.445–1.364]</x:v>
      </x:c>
      <x:c r="D6" s="190" t="str">
        <x:v>6.375 [5.301–7.282]</x:v>
      </x:c>
      <x:c r="E6" s="190" t="str">
        <x:v>2 (2.00%) [0.55%–7.00%]</x:v>
      </x:c>
      <x:c r="F6" s="190" t="str">
        <x:v>20 (20.00%) [13.34%–28.88%]</x:v>
      </x:c>
    </x:row>
    <x:row r="7">
      <x:c r="A7" s="190" t="str">
        <x:v>3WNE</x:v>
      </x:c>
      <x:c r="B7" s="190" t="n">
        <x:v>27</x:v>
      </x:c>
      <x:c r="C7" s="190" t="str">
        <x:v>0.904 [0.893–0.927]</x:v>
      </x:c>
      <x:c r="D7" s="190" t="str">
        <x:v>29.002 [22.337–39.916]</x:v>
      </x:c>
      <x:c r="E7" s="190" t="str">
        <x:v>3 (11.11%) [3.85%–28.06%]</x:v>
      </x:c>
      <x:c r="F7" s="190" t="str">
        <x:v>5 (18.52%) [8.18%–36.70%]</x:v>
      </x:c>
    </x:row>
    <x:row r="8">
      <x:c r="A8" s="190" t="str">
        <x:v>3ZGC</x:v>
      </x:c>
      <x:c r="B8" s="190" t="n">
        <x:v>49</x:v>
      </x:c>
      <x:c r="C8" s="190" t="str">
        <x:v>2.337 [1.662–2.742]</x:v>
      </x:c>
      <x:c r="D8" s="190" t="str">
        <x:v>5.219 [4.367–6.377]</x:v>
      </x:c>
      <x:c r="E8" s="190" t="str">
        <x:v>2 (4.08%) [1.13%–13.71%]</x:v>
      </x:c>
      <x:c r="F8" s="190" t="str">
        <x:v>23 (46.94%) [33.70%–60.62%]</x:v>
      </x:c>
    </x:row>
    <x:row r="9">
      <x:c r="A9" s="190" t="str">
        <x:v>4K1E</x:v>
      </x:c>
      <x:c r="B9" s="190" t="n">
        <x:v>100</x:v>
      </x:c>
      <x:c r="C9" s="190" t="str">
        <x:v>1.041 [0.691–1.517]</x:v>
      </x:c>
      <x:c r="D9" s="190" t="str">
        <x:v>6.803 [5.071–7.809]</x:v>
      </x:c>
      <x:c r="E9" s="190" t="str">
        <x:v>6 (6.00%) [2.78%–12.48%]</x:v>
      </x:c>
      <x:c r="F9" s="190" t="str">
        <x:v>24 (24.00%) [16.69%–33.23%]</x:v>
      </x:c>
    </x:row>
    <x:row r="10">
      <x:c r="A10" s="190" t="str">
        <x:v>4KEL</x:v>
      </x:c>
      <x:c r="B10" s="190" t="n">
        <x:v>100</x:v>
      </x:c>
      <x:c r="C10" s="190" t="str">
        <x:v>1.133 [0.701–1.491]</x:v>
      </x:c>
      <x:c r="D10" s="190" t="str">
        <x:v>7.791 [6.361–10.364]</x:v>
      </x:c>
      <x:c r="E10" s="190" t="str">
        <x:v>2 (2.00%) [0.55%–7.00%]</x:v>
      </x:c>
      <x:c r="F10" s="190" t="str">
        <x:v>10 (10.00%) [5.52%–17.44%]</x:v>
      </x:c>
    </x:row>
    <x:row r="11">
      <x:c r="A11" s="201" t="str">
        <x:v>OVERALL</x:v>
      </x:c>
      <x:c r="B11" s="201" t="n">
        <x:v>476</x:v>
      </x:c>
      <x:c r="C11" s="201" t="str">
        <x:v>1.022 [0.692–1.534]</x:v>
      </x:c>
      <x:c r="D11" s="201" t="str">
        <x:v>6.738 [5.261–8.129]</x:v>
      </x:c>
      <x:c r="E11" s="201" t="str">
        <x:v>16 (3.36%) [2.08%–5.39%]</x:v>
      </x:c>
      <x:c r="F11" s="201" t="str">
        <x:v>101 (21.22%) [17.78%–25.11%]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0c835eb878449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3" hidden="0" customWidth="1"/>
    <x:col min="4" max="4" width="18" hidden="0" customWidth="1"/>
    <x:col min="5" max="5" width="24" hidden="0" customWidth="1"/>
    <x:col min="6" max="6" width="18" hidden="0" customWidth="1"/>
    <x:col min="7" max="7" width="25" hidden="0" customWidth="1"/>
    <x:col min="8" max="8" width="23" hidden="0" customWidth="1"/>
    <x:col min="9" max="9" width="38" hidden="0" customWidth="1"/>
  </x:cols>
  <x:sheetData>
    <x:row r="1" ht="34" customHeight="1">
      <x:c r="A1" s="3" t="str">
        <x:v>Publication Table 3. Selection-conditioned representatives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One target-wise minimum-peptide-RMSD representative per target. HighFold confidence is reported only as the exact source field highfold_ca_bfactor_mean.</x:v>
      </x:c>
      <x:c r="B2" s="7"/>
      <x:c r="C2" s="7"/>
      <x:c r="D2" s="7"/>
      <x:c r="E2" s="7"/>
      <x:c r="F2" s="7"/>
      <x:c r="G2" s="7"/>
      <x:c r="H2" s="7"/>
      <x:c r="I2" s="7"/>
    </x:row>
    <x:row r="4" ht="38" customHeight="1">
      <x:c r="A4" s="172" t="str">
        <x:v>target_name</x:v>
      </x:c>
      <x:c r="B4" s="172" t="str">
        <x:v>design_seq</x:v>
      </x:c>
      <x:c r="C4" s="172" t="str">
        <x:v>methyl_positions_1based</x:v>
      </x:c>
      <x:c r="D4" s="172" t="str">
        <x:v>global_CA_RMSD_A</x:v>
      </x:c>
      <x:c r="E4" s="172" t="str">
        <x:v>best_forward_peptide_CA_RMSD_A</x:v>
      </x:c>
      <x:c r="F4" s="172" t="str">
        <x:v>permeability_pred</x:v>
      </x:c>
      <x:c r="G4" s="172" t="str">
        <x:v>fixed_pose_interface_energy_REU</x:v>
      </x:c>
      <x:c r="H4" s="172" t="str">
        <x:v>highfold_ca_bfactor_mean</x:v>
      </x:c>
      <x:c r="I4" s="172" t="str">
        <x:v>selection_scope</x:v>
      </x:c>
    </x:row>
    <x:row r="5">
      <x:c r="A5" s="176" t="str">
        <x:v>1SFI</x:v>
      </x:c>
      <x:c r="B5" s="176" t="str">
        <x:v>RCCrGNCGQCQFGG</x:v>
      </x:c>
      <x:c r="C5" s="176" t="str">
        <x:v>4</x:v>
      </x:c>
      <x:c r="D5" s="227" t="n">
        <x:v>0.536454</x:v>
      </x:c>
      <x:c r="E5" s="227" t="n">
        <x:v>2.818333</x:v>
      </x:c>
      <x:c r="F5" s="235" t="n">
        <x:v>0.4537699819</x:v>
      </x:c>
      <x:c r="G5" s="227" t="n">
        <x:v>31.7724301109</x:v>
      </x:c>
      <x:c r="H5" s="227" t="n">
        <x:v>93.4926694915</x:v>
      </x:c>
      <x:c r="I5" s="176" t="str">
        <x:v>target-wise oracle minimum; selection-conditioned</x:v>
      </x:c>
    </x:row>
    <x:row r="6">
      <x:c r="A6" s="176" t="str">
        <x:v>3P8F</x:v>
      </x:c>
      <x:c r="B6" s="176" t="str">
        <x:v>CrrrGrQGKGrRGC</x:v>
      </x:c>
      <x:c r="C6" s="176" t="str">
        <x:v>2,3,4,6,11</x:v>
      </x:c>
      <x:c r="D6" s="227" t="n">
        <x:v>0.30011</x:v>
      </x:c>
      <x:c r="E6" s="227" t="n">
        <x:v>2.075042</x:v>
      </x:c>
      <x:c r="F6" s="235" t="n">
        <x:v>7.568795181e-35</x:v>
      </x:c>
      <x:c r="G6" s="227" t="n">
        <x:v>-25.7273414997</x:v>
      </x:c>
      <x:c r="H6" s="227" t="n">
        <x:v>91.56876</x:v>
      </x:c>
      <x:c r="I6" s="176" t="str">
        <x:v>target-wise oracle minimum; selection-conditioned</x:v>
      </x:c>
    </x:row>
    <x:row r="7">
      <x:c r="A7" s="176" t="str">
        <x:v>3WNE</x:v>
      </x:c>
      <x:c r="B7" s="176" t="str">
        <x:v>GrKWNC</x:v>
      </x:c>
      <x:c r="C7" s="176" t="str">
        <x:v>2</x:v>
      </x:c>
      <x:c r="D7" s="227" t="n">
        <x:v>0.933407</x:v>
      </x:c>
      <x:c r="E7" s="227" t="n">
        <x:v>1.458877</x:v>
      </x:c>
      <x:c r="F7" s="235" t="n">
        <x:v>0.0864483789</x:v>
      </x:c>
      <x:c r="G7" s="227" t="n">
        <x:v>0.7262509849</x:v>
      </x:c>
      <x:c r="H7" s="227" t="n">
        <x:v>90.026677116</x:v>
      </x:c>
      <x:c r="I7" s="176" t="str">
        <x:v>target-wise oracle minimum; selection-conditioned</x:v>
      </x:c>
    </x:row>
    <x:row r="8">
      <x:c r="A8" s="176" t="str">
        <x:v>3ZGC</x:v>
      </x:c>
      <x:c r="B8" s="176" t="str">
        <x:v>rEGGQNR</x:v>
      </x:c>
      <x:c r="C8" s="176" t="str">
        <x:v>1</x:v>
      </x:c>
      <x:c r="D8" s="227" t="n">
        <x:v>0.972879</x:v>
      </x:c>
      <x:c r="E8" s="227" t="n">
        <x:v>2.075724</x:v>
      </x:c>
      <x:c r="F8" s="235" t="n">
        <x:v>1.044e-7</x:v>
      </x:c>
      <x:c r="G8" s="227" t="n">
        <x:v>15.9489900603</x:v>
      </x:c>
      <x:c r="H8" s="227" t="n">
        <x:v>89.9065495208</x:v>
      </x:c>
      <x:c r="I8" s="176" t="str">
        <x:v>target-wise oracle minimum; selection-conditioned</x:v>
      </x:c>
    </x:row>
    <x:row r="9">
      <x:c r="A9" s="176" t="str">
        <x:v>4K1E</x:v>
      </x:c>
      <x:c r="B9" s="176" t="str">
        <x:v>rcrrrQCrQGNCDR</x:v>
      </x:c>
      <x:c r="C9" s="176" t="str">
        <x:v>1,2,3,4,5,8</x:v>
      </x:c>
      <x:c r="D9" s="227" t="n">
        <x:v>0.899695</x:v>
      </x:c>
      <x:c r="E9" s="227" t="n">
        <x:v>1.916051</x:v>
      </x:c>
      <x:c r="F9" s="235" t="n">
        <x:v>6.141272082e-32</x:v>
      </x:c>
      <x:c r="G9" s="227" t="n">
        <x:v>434.2355088381</x:v>
      </x:c>
      <x:c r="H9" s="227" t="n">
        <x:v>89.0355411255</x:v>
      </x:c>
      <x:c r="I9" s="176" t="str">
        <x:v>target-wise oracle minimum; selection-conditioned</x:v>
      </x:c>
    </x:row>
    <x:row r="10">
      <x:c r="A10" s="176" t="str">
        <x:v>4KEL</x:v>
      </x:c>
      <x:c r="B10" s="176" t="str">
        <x:v>RcrrGNCrQGFCDR</x:v>
      </x:c>
      <x:c r="C10" s="176" t="str">
        <x:v>2,3,4,8</x:v>
      </x:c>
      <x:c r="D10" s="227" t="n">
        <x:v>0.6545</x:v>
      </x:c>
      <x:c r="E10" s="227" t="n">
        <x:v>2.379375</x:v>
      </x:c>
      <x:c r="F10" s="235" t="n">
        <x:v>0.0021353066</x:v>
      </x:c>
      <x:c r="G10" s="227" t="n">
        <x:v>416.7736547897</x:v>
      </x:c>
      <x:c r="H10" s="227" t="n">
        <x:v>91.4910729614</x:v>
      </x:c>
      <x:c r="I10" s="176" t="str">
        <x:v>target-wise oracle minimum; selection-conditioned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9abad3df15543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5" hidden="0" customWidth="1"/>
    <x:col min="16" max="16" width="13" hidden="0" customWidth="1"/>
  </x:cols>
  <x:sheetData>
    <x:row r="1" ht="34" customHeight="1">
      <x:c r="A1" s="3" t="str">
        <x:v>Supplementary Table S1. T=0.5 methylated sequence cohort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Primary FASTA only; .ipynb_checkpoints excluded. Blue values are audited inputs; black cells are formulas.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8" customHeight="1">
      <x:c r="A4" s="172" t="str">
        <x:v>target_name</x:v>
      </x:c>
      <x:c r="B4" s="172" t="str">
        <x:v>raw_primary_t05</x:v>
      </x:c>
      <x:c r="C4" s="172" t="str">
        <x:v>methylated_t05_thr_gt_0_6</x:v>
      </x:c>
      <x:c r="D4" s="172" t="str">
        <x:v>unmethylated_formula</x:v>
      </x:c>
      <x:c r="E4" s="172" t="str">
        <x:v>methylated_fraction_formula</x:v>
      </x:c>
      <x:c r="F4" s="172" t="str">
        <x:v>unique_exact_methylated</x:v>
      </x:c>
      <x:c r="G4" s="172" t="str">
        <x:v>unique_naturalized_methylated</x:v>
      </x:c>
      <x:c r="H4" s="172" t="str">
        <x:v>total_methyl_marks</x:v>
      </x:c>
      <x:c r="I4" s="172" t="str">
        <x:v>methyl_count_mean</x:v>
      </x:c>
      <x:c r="J4" s="172" t="str">
        <x:v>methyl_count_median</x:v>
      </x:c>
      <x:c r="K4" s="172" t="str">
        <x:v>natural_aa_recovery_mean</x:v>
      </x:c>
      <x:c r="L4" s="172" t="str">
        <x:v>natural_aa_recovery_median</x:v>
      </x:c>
      <x:c r="M4" s="172" t="str">
        <x:v>structure_rmsd_coverage_n</x:v>
      </x:c>
      <x:c r="N4" s="172" t="str">
        <x:v>structure_rmsd_coverage_fraction</x:v>
      </x:c>
      <x:c r="O4" s="172" t="str">
        <x:v>pdb_sequence_exact_match_n</x:v>
      </x:c>
      <x:c r="P4" s="172" t="str">
        <x:v>complete_peptide_ca_pairing_n</x:v>
      </x:c>
    </x:row>
    <x:row r="5">
      <x:c r="A5" s="190" t="str">
        <x:v>1SFI</x:v>
      </x:c>
      <x:c r="B5" s="190" t="n">
        <x:v>100</x:v>
      </x:c>
      <x:c r="C5" s="190" t="n">
        <x:v>100</x:v>
      </x:c>
      <x:c r="D5" s="192" t="n">
        <x:f>B5-C5</x:f>
        <x:v>0</x:v>
      </x:c>
      <x:c r="E5" s="193" t="n">
        <x:f>IFERROR(C5/B5,0)</x:f>
        <x:v>1</x:v>
      </x:c>
      <x:c r="F5" s="190" t="n">
        <x:v>100</x:v>
      </x:c>
      <x:c r="G5" s="190" t="n">
        <x:v>100</x:v>
      </x:c>
      <x:c r="H5" s="190" t="n">
        <x:v>325</x:v>
      </x:c>
      <x:c r="I5" s="195" t="n">
        <x:v>3.25</x:v>
      </x:c>
      <x:c r="J5" s="195" t="n">
        <x:v>3</x:v>
      </x:c>
      <x:c r="K5" s="194" t="n">
        <x:v>0.0478571429</x:v>
      </x:c>
      <x:c r="L5" s="194" t="n">
        <x:v>0.0357142857</x:v>
      </x:c>
      <x:c r="M5" s="190" t="n">
        <x:v>100</x:v>
      </x:c>
      <x:c r="N5" s="194" t="n">
        <x:v>1</x:v>
      </x:c>
      <x:c r="O5" s="190" t="n">
        <x:v>100</x:v>
      </x:c>
      <x:c r="P5" s="190" t="n">
        <x:v>100</x:v>
      </x:c>
    </x:row>
    <x:row r="6">
      <x:c r="A6" s="190" t="str">
        <x:v>3P8F</x:v>
      </x:c>
      <x:c r="B6" s="190" t="n">
        <x:v>100</x:v>
      </x:c>
      <x:c r="C6" s="190" t="n">
        <x:v>100</x:v>
      </x:c>
      <x:c r="D6" s="192" t="n">
        <x:f>B6-C6</x:f>
        <x:v>0</x:v>
      </x:c>
      <x:c r="E6" s="193" t="n">
        <x:f>IFERROR(C6/B6,0)</x:f>
        <x:v>1</x:v>
      </x:c>
      <x:c r="F6" s="190" t="n">
        <x:v>100</x:v>
      </x:c>
      <x:c r="G6" s="190" t="n">
        <x:v>100</x:v>
      </x:c>
      <x:c r="H6" s="190" t="n">
        <x:v>375</x:v>
      </x:c>
      <x:c r="I6" s="195" t="n">
        <x:v>3.75</x:v>
      </x:c>
      <x:c r="J6" s="195" t="n">
        <x:v>4</x:v>
      </x:c>
      <x:c r="K6" s="194" t="n">
        <x:v>0.0742857143</x:v>
      </x:c>
      <x:c r="L6" s="194" t="n">
        <x:v>0.0714285714</x:v>
      </x:c>
      <x:c r="M6" s="190" t="n">
        <x:v>100</x:v>
      </x:c>
      <x:c r="N6" s="194" t="n">
        <x:v>1</x:v>
      </x:c>
      <x:c r="O6" s="190" t="n">
        <x:v>100</x:v>
      </x:c>
      <x:c r="P6" s="190" t="n">
        <x:v>100</x:v>
      </x:c>
    </x:row>
    <x:row r="7">
      <x:c r="A7" s="190" t="str">
        <x:v>3WNE</x:v>
      </x:c>
      <x:c r="B7" s="190" t="n">
        <x:v>84</x:v>
      </x:c>
      <x:c r="C7" s="190" t="n">
        <x:v>27</x:v>
      </x:c>
      <x:c r="D7" s="192" t="n">
        <x:f>B7-C7</x:f>
        <x:v>57</x:v>
      </x:c>
      <x:c r="E7" s="193" t="n">
        <x:f>IFERROR(C7/B7,0)</x:f>
        <x:v>0.32142857142857145</x:v>
      </x:c>
      <x:c r="F7" s="190" t="n">
        <x:v>27</x:v>
      </x:c>
      <x:c r="G7" s="190" t="n">
        <x:v>27</x:v>
      </x:c>
      <x:c r="H7" s="190" t="n">
        <x:v>27</x:v>
      </x:c>
      <x:c r="I7" s="195" t="n">
        <x:v>1</x:v>
      </x:c>
      <x:c r="J7" s="195" t="n">
        <x:v>1</x:v>
      </x:c>
      <x:c r="K7" s="194" t="n">
        <x:v>0.0925925926</x:v>
      </x:c>
      <x:c r="L7" s="194" t="n">
        <x:v>0.1666666667</x:v>
      </x:c>
      <x:c r="M7" s="190" t="n">
        <x:v>27</x:v>
      </x:c>
      <x:c r="N7" s="194" t="n">
        <x:v>1</x:v>
      </x:c>
      <x:c r="O7" s="190" t="n">
        <x:v>27</x:v>
      </x:c>
      <x:c r="P7" s="190" t="n">
        <x:v>27</x:v>
      </x:c>
    </x:row>
    <x:row r="8">
      <x:c r="A8" s="190" t="str">
        <x:v>3ZGC</x:v>
      </x:c>
      <x:c r="B8" s="190" t="n">
        <x:v>60</x:v>
      </x:c>
      <x:c r="C8" s="190" t="n">
        <x:v>49</x:v>
      </x:c>
      <x:c r="D8" s="192" t="n">
        <x:f>B8-C8</x:f>
        <x:v>11</x:v>
      </x:c>
      <x:c r="E8" s="193" t="n">
        <x:f>IFERROR(C8/B8,0)</x:f>
        <x:v>0.8166666666666667</x:v>
      </x:c>
      <x:c r="F8" s="190" t="n">
        <x:v>49</x:v>
      </x:c>
      <x:c r="G8" s="190" t="n">
        <x:v>49</x:v>
      </x:c>
      <x:c r="H8" s="190" t="n">
        <x:v>60</x:v>
      </x:c>
      <x:c r="I8" s="195" t="n">
        <x:v>1.2244897959</x:v>
      </x:c>
      <x:c r="J8" s="195" t="n">
        <x:v>1</x:v>
      </x:c>
      <x:c r="K8" s="194" t="n">
        <x:v>0.0466472303</x:v>
      </x:c>
      <x:c r="L8" s="194" t="n">
        <x:v>0</x:v>
      </x:c>
      <x:c r="M8" s="190" t="n">
        <x:v>49</x:v>
      </x:c>
      <x:c r="N8" s="194" t="n">
        <x:v>1</x:v>
      </x:c>
      <x:c r="O8" s="190" t="n">
        <x:v>49</x:v>
      </x:c>
      <x:c r="P8" s="190" t="n">
        <x:v>49</x:v>
      </x:c>
    </x:row>
    <x:row r="9">
      <x:c r="A9" s="190" t="str">
        <x:v>4K1E</x:v>
      </x:c>
      <x:c r="B9" s="190" t="n">
        <x:v>100</x:v>
      </x:c>
      <x:c r="C9" s="190" t="n">
        <x:v>100</x:v>
      </x:c>
      <x:c r="D9" s="192" t="n">
        <x:f>B9-C9</x:f>
        <x:v>0</x:v>
      </x:c>
      <x:c r="E9" s="193" t="n">
        <x:f>IFERROR(C9/B9,0)</x:f>
        <x:v>1</x:v>
      </x:c>
      <x:c r="F9" s="190" t="n">
        <x:v>100</x:v>
      </x:c>
      <x:c r="G9" s="190" t="n">
        <x:v>100</x:v>
      </x:c>
      <x:c r="H9" s="190" t="n">
        <x:v>567</x:v>
      </x:c>
      <x:c r="I9" s="195" t="n">
        <x:v>5.67</x:v>
      </x:c>
      <x:c r="J9" s="195" t="n">
        <x:v>6</x:v>
      </x:c>
      <x:c r="K9" s="194" t="n">
        <x:v>0.0492857143</x:v>
      </x:c>
      <x:c r="L9" s="194" t="n">
        <x:v>0.0714285714</x:v>
      </x:c>
      <x:c r="M9" s="190" t="n">
        <x:v>100</x:v>
      </x:c>
      <x:c r="N9" s="194" t="n">
        <x:v>1</x:v>
      </x:c>
      <x:c r="O9" s="190" t="n">
        <x:v>100</x:v>
      </x:c>
      <x:c r="P9" s="190" t="n">
        <x:v>100</x:v>
      </x:c>
    </x:row>
    <x:row r="10">
      <x:c r="A10" s="190" t="str">
        <x:v>4KEL</x:v>
      </x:c>
      <x:c r="B10" s="190" t="n">
        <x:v>100</x:v>
      </x:c>
      <x:c r="C10" s="190" t="n">
        <x:v>100</x:v>
      </x:c>
      <x:c r="D10" s="192" t="n">
        <x:f>B10-C10</x:f>
        <x:v>0</x:v>
      </x:c>
      <x:c r="E10" s="193" t="n">
        <x:f>IFERROR(C10/B10,0)</x:f>
        <x:v>1</x:v>
      </x:c>
      <x:c r="F10" s="190" t="n">
        <x:v>100</x:v>
      </x:c>
      <x:c r="G10" s="190" t="n">
        <x:v>100</x:v>
      </x:c>
      <x:c r="H10" s="190" t="n">
        <x:v>465</x:v>
      </x:c>
      <x:c r="I10" s="195" t="n">
        <x:v>4.65</x:v>
      </x:c>
      <x:c r="J10" s="195" t="n">
        <x:v>5</x:v>
      </x:c>
      <x:c r="K10" s="194" t="n">
        <x:v>0.0464285714</x:v>
      </x:c>
      <x:c r="L10" s="194" t="n">
        <x:v>0.0714285714</x:v>
      </x:c>
      <x:c r="M10" s="190" t="n">
        <x:v>100</x:v>
      </x:c>
      <x:c r="N10" s="194" t="n">
        <x:v>1</x:v>
      </x:c>
      <x:c r="O10" s="190" t="n">
        <x:v>100</x:v>
      </x:c>
      <x:c r="P10" s="190" t="n">
        <x:v>100</x:v>
      </x:c>
    </x:row>
    <x:row r="11">
      <x:c r="A11" s="201" t="str">
        <x:v>OVERALL</x:v>
      </x:c>
      <x:c r="B11" s="201" t="n">
        <x:v>544</x:v>
      </x:c>
      <x:c r="C11" s="201" t="n">
        <x:v>476</x:v>
      </x:c>
      <x:c r="D11" s="201" t="n">
        <x:f>B11-C11</x:f>
        <x:v>68</x:v>
      </x:c>
      <x:c r="E11" s="202" t="n">
        <x:f>IFERROR(C11/B11,0)</x:f>
        <x:v>0.875</x:v>
      </x:c>
      <x:c r="F11" s="201" t="n">
        <x:v>476</x:v>
      </x:c>
      <x:c r="G11" s="201" t="n">
        <x:v>476</x:v>
      </x:c>
      <x:c r="H11" s="201" t="n">
        <x:v>1819</x:v>
      </x:c>
      <x:c r="I11" s="203" t="n">
        <x:v>3.8214285714</x:v>
      </x:c>
      <x:c r="J11" s="203" t="n">
        <x:v>4</x:v>
      </x:c>
      <x:c r="K11" s="202" t="n">
        <x:v>0.0558223289</x:v>
      </x:c>
      <x:c r="L11" s="202" t="n">
        <x:v>0.0714285714</x:v>
      </x:c>
      <x:c r="M11" s="201" t="n">
        <x:v>476</x:v>
      </x:c>
      <x:c r="N11" s="202" t="n">
        <x:v>1</x:v>
      </x:c>
      <x:c r="O11" s="201" t="n">
        <x:v>476</x:v>
      </x:c>
      <x:c r="P11" s="201" t="n">
        <x:v>476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f4f4ad8d84d146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7" hidden="0" customWidth="1"/>
    <x:col min="13" max="13" width="13" hidden="0" customWidth="1"/>
    <x:col min="14" max="14" width="17" hidden="0" customWidth="1"/>
    <x:col min="15" max="15" width="13" hidden="0" customWidth="1"/>
    <x:col min="16" max="16" width="17" hidden="0" customWidth="1"/>
    <x:col min="17" max="17" width="13" hidden="0" customWidth="1"/>
    <x:col min="18" max="18" width="17" hidden="0" customWidth="1"/>
    <x:col min="19" max="19" width="13" hidden="0" customWidth="1"/>
    <x:col min="20" max="20" width="17" hidden="0" customWidth="1"/>
    <x:col min="21" max="21" width="13" hidden="0" customWidth="1"/>
    <x:col min="22" max="22" width="13" hidden="0" customWidth="1"/>
    <x:col min="23" max="23" width="13" hidden="0" customWidth="1"/>
    <x:col min="24" max="24" width="17" hidden="0" customWidth="1"/>
    <x:col min="25" max="25" width="13" hidden="0" customWidth="1"/>
    <x:col min="26" max="26" width="18" hidden="0" customWidth="1"/>
    <x:col min="27" max="27" width="15" hidden="0" customWidth="1"/>
    <x:col min="28" max="28" width="20" hidden="0" customWidth="1"/>
    <x:col min="29" max="29" width="20" hidden="0" customWidth="1"/>
  </x:cols>
  <x:sheetData>
    <x:row r="1" ht="34" customHeight="1">
      <x:c r="A1" s="3" t="str">
        <x:v>Supplementary Table S2. RMSD results by target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34" customHeight="1">
      <x:c r="A2" s="7" t="str">
        <x:v>Primary joint pass requires both global-complex and best-forward cyclic-peptide RMSD below the same strict threshold. End-to-end raw yield uses all primary-directory T=0.5 sequences before methylation filtering.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</x:row>
    <x:row r="4" ht="38" customHeight="1">
      <x:c r="A4" s="172" t="str">
        <x:v>target_name</x:v>
      </x:c>
      <x:c r="B4" s="172" t="str">
        <x:v>n</x:v>
      </x:c>
      <x:c r="C4" s="172" t="str">
        <x:v>global_mean_A</x:v>
      </x:c>
      <x:c r="D4" s="172" t="str">
        <x:v>global_median_A</x:v>
      </x:c>
      <x:c r="E4" s="172" t="str">
        <x:v>global_q1_A</x:v>
      </x:c>
      <x:c r="F4" s="172" t="str">
        <x:v>global_q3_A</x:v>
      </x:c>
      <x:c r="G4" s="172" t="str">
        <x:v>cyclic_mean_A</x:v>
      </x:c>
      <x:c r="H4" s="172" t="str">
        <x:v>cyclic_median_A</x:v>
      </x:c>
      <x:c r="I4" s="172" t="str">
        <x:v>cyclic_q1_A</x:v>
      </x:c>
      <x:c r="J4" s="172" t="str">
        <x:v>cyclic_q3_A</x:v>
      </x:c>
      <x:c r="K4" s="172" t="str">
        <x:v>global_lt3_n</x:v>
      </x:c>
      <x:c r="L4" s="172" t="str">
        <x:v>global_lt3_rate_formula</x:v>
      </x:c>
      <x:c r="M4" s="172" t="str">
        <x:v>global_lt5_n</x:v>
      </x:c>
      <x:c r="N4" s="172" t="str">
        <x:v>global_lt5_rate_formula</x:v>
      </x:c>
      <x:c r="O4" s="172" t="str">
        <x:v>cyclic_lt3_n</x:v>
      </x:c>
      <x:c r="P4" s="172" t="str">
        <x:v>cyclic_lt3_rate_formula</x:v>
      </x:c>
      <x:c r="Q4" s="172" t="str">
        <x:v>cyclic_lt5_n</x:v>
      </x:c>
      <x:c r="R4" s="172" t="str">
        <x:v>cyclic_lt5_rate_formula</x:v>
      </x:c>
      <x:c r="S4" s="172" t="str">
        <x:v>joint_lt3_n</x:v>
      </x:c>
      <x:c r="T4" s="172" t="str">
        <x:v>joint_lt3_rate_formula</x:v>
      </x:c>
      <x:c r="U4" s="172" t="str">
        <x:v>joint_lt3_wilson95_low</x:v>
      </x:c>
      <x:c r="V4" s="172" t="str">
        <x:v>joint_lt3_wilson95_high</x:v>
      </x:c>
      <x:c r="W4" s="172" t="str">
        <x:v>joint_lt5_n</x:v>
      </x:c>
      <x:c r="X4" s="172" t="str">
        <x:v>joint_lt5_rate_formula</x:v>
      </x:c>
      <x:c r="Y4" s="172" t="str">
        <x:v>joint_lt5_wilson95_low</x:v>
      </x:c>
      <x:c r="Z4" s="172" t="str">
        <x:v>joint_lt5_wilson95_high</x:v>
      </x:c>
      <x:c r="AA4" s="172" t="str">
        <x:v>raw_primary_t05</x:v>
      </x:c>
      <x:c r="AB4" s="172" t="str">
        <x:v>end_to_end_raw_yield_lt3_formula</x:v>
      </x:c>
      <x:c r="AC4" s="172" t="str">
        <x:v>end_to_end_raw_yield_lt5_formula</x:v>
      </x:c>
    </x:row>
    <x:row r="5">
      <x:c r="A5" s="190" t="str">
        <x:v>1SFI</x:v>
      </x:c>
      <x:c r="B5" s="190" t="n">
        <x:v>100</x:v>
      </x:c>
      <x:c r="C5" s="195" t="n">
        <x:v>1.0370837</x:v>
      </x:c>
      <x:c r="D5" s="195" t="n">
        <x:v>0.884092</x:v>
      </x:c>
      <x:c r="E5" s="195" t="n">
        <x:v>0.58056875</x:v>
      </x:c>
      <x:c r="F5" s="195" t="n">
        <x:v>1.45719025</x:v>
      </x:c>
      <x:c r="G5" s="195" t="n">
        <x:v>6.67325116</x:v>
      </x:c>
      <x:c r="H5" s="195" t="n">
        <x:v>6.2889755</x:v>
      </x:c>
      <x:c r="I5" s="195" t="n">
        <x:v>5.238731</x:v>
      </x:c>
      <x:c r="J5" s="195" t="n">
        <x:v>7.81390975</x:v>
      </x:c>
      <x:c r="K5" s="190" t="n">
        <x:v>100</x:v>
      </x:c>
      <x:c r="L5" s="193" t="n">
        <x:f>IFERROR(K5/$B5,0)</x:f>
        <x:v>1</x:v>
      </x:c>
      <x:c r="M5" s="190" t="n">
        <x:v>100</x:v>
      </x:c>
      <x:c r="N5" s="193" t="n">
        <x:f>IFERROR(M5/$B5,0)</x:f>
        <x:v>1</x:v>
      </x:c>
      <x:c r="O5" s="190" t="n">
        <x:v>1</x:v>
      </x:c>
      <x:c r="P5" s="193" t="n">
        <x:f>IFERROR(O5/$B5,0)</x:f>
        <x:v>0.01</x:v>
      </x:c>
      <x:c r="Q5" s="190" t="n">
        <x:v>19</x:v>
      </x:c>
      <x:c r="R5" s="193" t="n">
        <x:f>IFERROR(Q5/$B5,0)</x:f>
        <x:v>0.19</x:v>
      </x:c>
      <x:c r="S5" s="190" t="n">
        <x:v>1</x:v>
      </x:c>
      <x:c r="T5" s="193" t="n">
        <x:f>IFERROR(S5/$B5,0)</x:f>
        <x:v>0.01</x:v>
      </x:c>
      <x:c r="U5" s="194" t="n">
        <x:v>0.0017674321</x:v>
      </x:c>
      <x:c r="V5" s="194" t="n">
        <x:v>0.0544861962</x:v>
      </x:c>
      <x:c r="W5" s="190" t="n">
        <x:v>19</x:v>
      </x:c>
      <x:c r="X5" s="193" t="n">
        <x:f>IFERROR(W5/$B5,0)</x:f>
        <x:v>0.19</x:v>
      </x:c>
      <x:c r="Y5" s="194" t="n">
        <x:v>0.1251475151</x:v>
      </x:c>
      <x:c r="Z5" s="194" t="n">
        <x:v>0.2777884538</x:v>
      </x:c>
      <x:c r="AA5" s="190" t="n">
        <x:v>100</x:v>
      </x:c>
      <x:c r="AB5" s="207" t="n">
        <x:f>IFERROR(S5/AA5,0)</x:f>
        <x:v>0.01</x:v>
      </x:c>
      <x:c r="AC5" s="207" t="n">
        <x:f>IFERROR(W5/AA5,0)</x:f>
        <x:v>0.19</x:v>
      </x:c>
    </x:row>
    <x:row r="6">
      <x:c r="A6" s="190" t="str">
        <x:v>3P8F</x:v>
      </x:c>
      <x:c r="B6" s="190" t="n">
        <x:v>100</x:v>
      </x:c>
      <x:c r="C6" s="195" t="n">
        <x:v>0.94577582</x:v>
      </x:c>
      <x:c r="D6" s="195" t="n">
        <x:v>0.9812345</x:v>
      </x:c>
      <x:c r="E6" s="195" t="n">
        <x:v>0.44498175</x:v>
      </x:c>
      <x:c r="F6" s="195" t="n">
        <x:v>1.36356175</x:v>
      </x:c>
      <x:c r="G6" s="195" t="n">
        <x:v>6.89888222</x:v>
      </x:c>
      <x:c r="H6" s="195" t="n">
        <x:v>6.374994</x:v>
      </x:c>
      <x:c r="I6" s="195" t="n">
        <x:v>5.30050575</x:v>
      </x:c>
      <x:c r="J6" s="195" t="n">
        <x:v>7.282006</x:v>
      </x:c>
      <x:c r="K6" s="190" t="n">
        <x:v>99</x:v>
      </x:c>
      <x:c r="L6" s="193" t="n">
        <x:f>IFERROR(K6/$B6,0)</x:f>
        <x:v>0.99</x:v>
      </x:c>
      <x:c r="M6" s="190" t="n">
        <x:v>100</x:v>
      </x:c>
      <x:c r="N6" s="193" t="n">
        <x:f>IFERROR(M6/$B6,0)</x:f>
        <x:v>1</x:v>
      </x:c>
      <x:c r="O6" s="190" t="n">
        <x:v>2</x:v>
      </x:c>
      <x:c r="P6" s="193" t="n">
        <x:f>IFERROR(O6/$B6,0)</x:f>
        <x:v>0.02</x:v>
      </x:c>
      <x:c r="Q6" s="190" t="n">
        <x:v>20</x:v>
      </x:c>
      <x:c r="R6" s="193" t="n">
        <x:f>IFERROR(Q6/$B6,0)</x:f>
        <x:v>0.2</x:v>
      </x:c>
      <x:c r="S6" s="190" t="n">
        <x:v>2</x:v>
      </x:c>
      <x:c r="T6" s="193" t="n">
        <x:f>IFERROR(S6/$B6,0)</x:f>
        <x:v>0.02</x:v>
      </x:c>
      <x:c r="U6" s="194" t="n">
        <x:v>0.0055019676</x:v>
      </x:c>
      <x:c r="V6" s="194" t="n">
        <x:v>0.0700117907</x:v>
      </x:c>
      <x:c r="W6" s="190" t="n">
        <x:v>20</x:v>
      </x:c>
      <x:c r="X6" s="193" t="n">
        <x:f>IFERROR(W6/$B6,0)</x:f>
        <x:v>0.2</x:v>
      </x:c>
      <x:c r="Y6" s="194" t="n">
        <x:v>0.1333669333</x:v>
      </x:c>
      <x:c r="Z6" s="194" t="n">
        <x:v>0.2888291656</x:v>
      </x:c>
      <x:c r="AA6" s="190" t="n">
        <x:v>100</x:v>
      </x:c>
      <x:c r="AB6" s="207" t="n">
        <x:f>IFERROR(S6/AA6,0)</x:f>
        <x:v>0.02</x:v>
      </x:c>
      <x:c r="AC6" s="207" t="n">
        <x:f>IFERROR(W6/AA6,0)</x:f>
        <x:v>0.2</x:v>
      </x:c>
    </x:row>
    <x:row r="7">
      <x:c r="A7" s="190" t="str">
        <x:v>3WNE</x:v>
      </x:c>
      <x:c r="B7" s="190" t="n">
        <x:v>27</x:v>
      </x:c>
      <x:c r="C7" s="195" t="n">
        <x:v>0.9155168519</x:v>
      </x:c>
      <x:c r="D7" s="195" t="n">
        <x:v>0.903765</x:v>
      </x:c>
      <x:c r="E7" s="195" t="n">
        <x:v>0.8926405</x:v>
      </x:c>
      <x:c r="F7" s="195" t="n">
        <x:v>0.9273625</x:v>
      </x:c>
      <x:c r="G7" s="195" t="n">
        <x:v>27.6559838519</x:v>
      </x:c>
      <x:c r="H7" s="195" t="n">
        <x:v>29.002404</x:v>
      </x:c>
      <x:c r="I7" s="195" t="n">
        <x:v>22.3374225</x:v>
      </x:c>
      <x:c r="J7" s="195" t="n">
        <x:v>39.9161005</x:v>
      </x:c>
      <x:c r="K7" s="190" t="n">
        <x:v>27</x:v>
      </x:c>
      <x:c r="L7" s="193" t="n">
        <x:f>IFERROR(K7/$B7,0)</x:f>
        <x:v>1</x:v>
      </x:c>
      <x:c r="M7" s="190" t="n">
        <x:v>27</x:v>
      </x:c>
      <x:c r="N7" s="193" t="n">
        <x:f>IFERROR(M7/$B7,0)</x:f>
        <x:v>1</x:v>
      </x:c>
      <x:c r="O7" s="190" t="n">
        <x:v>3</x:v>
      </x:c>
      <x:c r="P7" s="193" t="n">
        <x:f>IFERROR(O7/$B7,0)</x:f>
        <x:v>0.1111111111111111</x:v>
      </x:c>
      <x:c r="Q7" s="190" t="n">
        <x:v>5</x:v>
      </x:c>
      <x:c r="R7" s="193" t="n">
        <x:f>IFERROR(Q7/$B7,0)</x:f>
        <x:v>0.18518518518518517</x:v>
      </x:c>
      <x:c r="S7" s="190" t="n">
        <x:v>3</x:v>
      </x:c>
      <x:c r="T7" s="193" t="n">
        <x:f>IFERROR(S7/$B7,0)</x:f>
        <x:v>0.1111111111111111</x:v>
      </x:c>
      <x:c r="U7" s="194" t="n">
        <x:v>0.0385203483</x:v>
      </x:c>
      <x:c r="V7" s="194" t="n">
        <x:v>0.2805780082</x:v>
      </x:c>
      <x:c r="W7" s="190" t="n">
        <x:v>5</x:v>
      </x:c>
      <x:c r="X7" s="193" t="n">
        <x:f>IFERROR(W7/$B7,0)</x:f>
        <x:v>0.18518518518518517</x:v>
      </x:c>
      <x:c r="Y7" s="194" t="n">
        <x:v>0.0818070714</x:v>
      </x:c>
      <x:c r="Z7" s="194" t="n">
        <x:v>0.3669868362</x:v>
      </x:c>
      <x:c r="AA7" s="190" t="n">
        <x:v>84</x:v>
      </x:c>
      <x:c r="AB7" s="207" t="n">
        <x:f>IFERROR(S7/AA7,0)</x:f>
        <x:v>0.03571428571428571</x:v>
      </x:c>
      <x:c r="AC7" s="207" t="n">
        <x:f>IFERROR(W7/AA7,0)</x:f>
        <x:v>0.05952380952380952</x:v>
      </x:c>
    </x:row>
    <x:row r="8">
      <x:c r="A8" s="190" t="str">
        <x:v>3ZGC</x:v>
      </x:c>
      <x:c r="B8" s="190" t="n">
        <x:v>49</x:v>
      </x:c>
      <x:c r="C8" s="195" t="n">
        <x:v>2.2461135102</x:v>
      </x:c>
      <x:c r="D8" s="195" t="n">
        <x:v>2.3369</x:v>
      </x:c>
      <x:c r="E8" s="195" t="n">
        <x:v>1.661986</x:v>
      </x:c>
      <x:c r="F8" s="195" t="n">
        <x:v>2.741598</x:v>
      </x:c>
      <x:c r="G8" s="195" t="n">
        <x:v>5.3877036531</x:v>
      </x:c>
      <x:c r="H8" s="195" t="n">
        <x:v>5.219251</x:v>
      </x:c>
      <x:c r="I8" s="195" t="n">
        <x:v>4.366653</x:v>
      </x:c>
      <x:c r="J8" s="195" t="n">
        <x:v>6.377095</x:v>
      </x:c>
      <x:c r="K8" s="190" t="n">
        <x:v>43</x:v>
      </x:c>
      <x:c r="L8" s="193" t="n">
        <x:f>IFERROR(K8/$B8,0)</x:f>
        <x:v>0.8775510204081632</x:v>
      </x:c>
      <x:c r="M8" s="190" t="n">
        <x:v>49</x:v>
      </x:c>
      <x:c r="N8" s="193" t="n">
        <x:f>IFERROR(M8/$B8,0)</x:f>
        <x:v>1</x:v>
      </x:c>
      <x:c r="O8" s="190" t="n">
        <x:v>2</x:v>
      </x:c>
      <x:c r="P8" s="193" t="n">
        <x:f>IFERROR(O8/$B8,0)</x:f>
        <x:v>0.04081632653061224</x:v>
      </x:c>
      <x:c r="Q8" s="190" t="n">
        <x:v>23</x:v>
      </x:c>
      <x:c r="R8" s="193" t="n">
        <x:f>IFERROR(Q8/$B8,0)</x:f>
        <x:v>0.46938775510204084</x:v>
      </x:c>
      <x:c r="S8" s="190" t="n">
        <x:v>2</x:v>
      </x:c>
      <x:c r="T8" s="193" t="n">
        <x:f>IFERROR(S8/$B8,0)</x:f>
        <x:v>0.04081632653061224</x:v>
      </x:c>
      <x:c r="U8" s="194" t="n">
        <x:v>0.0112656334</x:v>
      </x:c>
      <x:c r="V8" s="194" t="n">
        <x:v>0.1371303231</x:v>
      </x:c>
      <x:c r="W8" s="190" t="n">
        <x:v>23</x:v>
      </x:c>
      <x:c r="X8" s="193" t="n">
        <x:f>IFERROR(W8/$B8,0)</x:f>
        <x:v>0.46938775510204084</x:v>
      </x:c>
      <x:c r="Y8" s="194" t="n">
        <x:v>0.3370350369</x:v>
      </x:c>
      <x:c r="Z8" s="194" t="n">
        <x:v>0.6061913602</x:v>
      </x:c>
      <x:c r="AA8" s="190" t="n">
        <x:v>60</x:v>
      </x:c>
      <x:c r="AB8" s="207" t="n">
        <x:f>IFERROR(S8/AA8,0)</x:f>
        <x:v>0.03333333333333333</x:v>
      </x:c>
      <x:c r="AC8" s="207" t="n">
        <x:f>IFERROR(W8/AA8,0)</x:f>
        <x:v>0.38333333333333336</x:v>
      </x:c>
    </x:row>
    <x:row r="9">
      <x:c r="A9" s="190" t="str">
        <x:v>4K1E</x:v>
      </x:c>
      <x:c r="B9" s="190" t="n">
        <x:v>100</x:v>
      </x:c>
      <x:c r="C9" s="195" t="n">
        <x:v>1.16334832</x:v>
      </x:c>
      <x:c r="D9" s="195" t="n">
        <x:v>1.0405255</x:v>
      </x:c>
      <x:c r="E9" s="195" t="n">
        <x:v>0.6906515</x:v>
      </x:c>
      <x:c r="F9" s="195" t="n">
        <x:v>1.51669625</x:v>
      </x:c>
      <x:c r="G9" s="195" t="n">
        <x:v>6.69039562</x:v>
      </x:c>
      <x:c r="H9" s="195" t="n">
        <x:v>6.802955</x:v>
      </x:c>
      <x:c r="I9" s="195" t="n">
        <x:v>5.0705835</x:v>
      </x:c>
      <x:c r="J9" s="195" t="n">
        <x:v>7.80947175</x:v>
      </x:c>
      <x:c r="K9" s="190" t="n">
        <x:v>100</x:v>
      </x:c>
      <x:c r="L9" s="193" t="n">
        <x:f>IFERROR(K9/$B9,0)</x:f>
        <x:v>1</x:v>
      </x:c>
      <x:c r="M9" s="190" t="n">
        <x:v>100</x:v>
      </x:c>
      <x:c r="N9" s="193" t="n">
        <x:f>IFERROR(M9/$B9,0)</x:f>
        <x:v>1</x:v>
      </x:c>
      <x:c r="O9" s="190" t="n">
        <x:v>6</x:v>
      </x:c>
      <x:c r="P9" s="193" t="n">
        <x:f>IFERROR(O9/$B9,0)</x:f>
        <x:v>0.06</x:v>
      </x:c>
      <x:c r="Q9" s="190" t="n">
        <x:v>24</x:v>
      </x:c>
      <x:c r="R9" s="193" t="n">
        <x:f>IFERROR(Q9/$B9,0)</x:f>
        <x:v>0.24</x:v>
      </x:c>
      <x:c r="S9" s="190" t="n">
        <x:v>6</x:v>
      </x:c>
      <x:c r="T9" s="193" t="n">
        <x:f>IFERROR(S9/$B9,0)</x:f>
        <x:v>0.06</x:v>
      </x:c>
      <x:c r="U9" s="194" t="n">
        <x:v>0.027786124</x:v>
      </x:c>
      <x:c r="V9" s="194" t="n">
        <x:v>0.1247681545</x:v>
      </x:c>
      <x:c r="W9" s="190" t="n">
        <x:v>24</x:v>
      </x:c>
      <x:c r="X9" s="193" t="n">
        <x:f>IFERROR(W9/$B9,0)</x:f>
        <x:v>0.24</x:v>
      </x:c>
      <x:c r="Y9" s="194" t="n">
        <x:v>0.1669132556</x:v>
      </x:c>
      <x:c r="Z9" s="194" t="n">
        <x:v>0.3323233635</x:v>
      </x:c>
      <x:c r="AA9" s="190" t="n">
        <x:v>100</x:v>
      </x:c>
      <x:c r="AB9" s="207" t="n">
        <x:f>IFERROR(S9/AA9,0)</x:f>
        <x:v>0.06</x:v>
      </x:c>
      <x:c r="AC9" s="207" t="n">
        <x:f>IFERROR(W9/AA9,0)</x:f>
        <x:v>0.24</x:v>
      </x:c>
    </x:row>
    <x:row r="10">
      <x:c r="A10" s="190" t="str">
        <x:v>4KEL</x:v>
      </x:c>
      <x:c r="B10" s="190" t="n">
        <x:v>100</x:v>
      </x:c>
      <x:c r="C10" s="195" t="n">
        <x:v>1.16342609</x:v>
      </x:c>
      <x:c r="D10" s="195" t="n">
        <x:v>1.1327705</x:v>
      </x:c>
      <x:c r="E10" s="195" t="n">
        <x:v>0.70091225</x:v>
      </x:c>
      <x:c r="F10" s="195" t="n">
        <x:v>1.49104925</x:v>
      </x:c>
      <x:c r="G10" s="195" t="n">
        <x:v>8.48321744</x:v>
      </x:c>
      <x:c r="H10" s="195" t="n">
        <x:v>7.7910855</x:v>
      </x:c>
      <x:c r="I10" s="195" t="n">
        <x:v>6.36093625</x:v>
      </x:c>
      <x:c r="J10" s="195" t="n">
        <x:v>10.363807</x:v>
      </x:c>
      <x:c r="K10" s="190" t="n">
        <x:v>100</x:v>
      </x:c>
      <x:c r="L10" s="193" t="n">
        <x:f>IFERROR(K10/$B10,0)</x:f>
        <x:v>1</x:v>
      </x:c>
      <x:c r="M10" s="190" t="n">
        <x:v>100</x:v>
      </x:c>
      <x:c r="N10" s="193" t="n">
        <x:f>IFERROR(M10/$B10,0)</x:f>
        <x:v>1</x:v>
      </x:c>
      <x:c r="O10" s="190" t="n">
        <x:v>2</x:v>
      </x:c>
      <x:c r="P10" s="193" t="n">
        <x:f>IFERROR(O10/$B10,0)</x:f>
        <x:v>0.02</x:v>
      </x:c>
      <x:c r="Q10" s="190" t="n">
        <x:v>10</x:v>
      </x:c>
      <x:c r="R10" s="193" t="n">
        <x:f>IFERROR(Q10/$B10,0)</x:f>
        <x:v>0.1</x:v>
      </x:c>
      <x:c r="S10" s="190" t="n">
        <x:v>2</x:v>
      </x:c>
      <x:c r="T10" s="193" t="n">
        <x:f>IFERROR(S10/$B10,0)</x:f>
        <x:v>0.02</x:v>
      </x:c>
      <x:c r="U10" s="194" t="n">
        <x:v>0.0055019676</x:v>
      </x:c>
      <x:c r="V10" s="194" t="n">
        <x:v>0.0700117907</x:v>
      </x:c>
      <x:c r="W10" s="190" t="n">
        <x:v>10</x:v>
      </x:c>
      <x:c r="X10" s="193" t="n">
        <x:f>IFERROR(W10/$B10,0)</x:f>
        <x:v>0.1</x:v>
      </x:c>
      <x:c r="Y10" s="194" t="n">
        <x:v>0.0552291371</x:v>
      </x:c>
      <x:c r="Z10" s="194" t="n">
        <x:v>0.1743656615</x:v>
      </x:c>
      <x:c r="AA10" s="190" t="n">
        <x:v>100</x:v>
      </x:c>
      <x:c r="AB10" s="207" t="n">
        <x:f>IFERROR(S10/AA10,0)</x:f>
        <x:v>0.02</x:v>
      </x:c>
      <x:c r="AC10" s="207" t="n">
        <x:f>IFERROR(W10/AA10,0)</x:f>
        <x:v>0.1</x:v>
      </x:c>
    </x:row>
    <x:row r="11">
      <x:c r="A11" s="201" t="str">
        <x:v>OVERALL</x:v>
      </x:c>
      <x:c r="B11" s="201" t="n">
        <x:v>476</x:v>
      </x:c>
      <x:c r="C11" s="203" t="n">
        <x:v>1.1885334244</x:v>
      </x:c>
      <x:c r="D11" s="203" t="n">
        <x:v>1.021724</x:v>
      </x:c>
      <x:c r="E11" s="203" t="n">
        <x:v>0.6917795</x:v>
      </x:c>
      <x:c r="F11" s="203" t="n">
        <x:v>1.534172</x:v>
      </x:c>
      <x:c r="G11" s="203" t="n">
        <x:v>8.162360687</x:v>
      </x:c>
      <x:c r="H11" s="203" t="n">
        <x:v>6.738205</x:v>
      </x:c>
      <x:c r="I11" s="203" t="n">
        <x:v>5.26115125</x:v>
      </x:c>
      <x:c r="J11" s="203" t="n">
        <x:v>8.12945825</x:v>
      </x:c>
      <x:c r="K11" s="201" t="n">
        <x:v>469</x:v>
      </x:c>
      <x:c r="L11" s="202" t="n">
        <x:f>IFERROR(K11/$B11,0)</x:f>
        <x:v>0.9852941176470589</x:v>
      </x:c>
      <x:c r="M11" s="201" t="n">
        <x:v>476</x:v>
      </x:c>
      <x:c r="N11" s="202" t="n">
        <x:f>IFERROR(M11/$B11,0)</x:f>
        <x:v>1</x:v>
      </x:c>
      <x:c r="O11" s="201" t="n">
        <x:v>16</x:v>
      </x:c>
      <x:c r="P11" s="202" t="n">
        <x:f>IFERROR(O11/$B11,0)</x:f>
        <x:v>0.03361344537815126</x:v>
      </x:c>
      <x:c r="Q11" s="201" t="n">
        <x:v>101</x:v>
      </x:c>
      <x:c r="R11" s="202" t="n">
        <x:f>IFERROR(Q11/$B11,0)</x:f>
        <x:v>0.21218487394957983</x:v>
      </x:c>
      <x:c r="S11" s="201" t="n">
        <x:v>16</x:v>
      </x:c>
      <x:c r="T11" s="202" t="n">
        <x:f>IFERROR(S11/$B11,0)</x:f>
        <x:v>0.03361344537815126</x:v>
      </x:c>
      <x:c r="U11" s="202" t="n">
        <x:v>0.0207944211</x:v>
      </x:c>
      <x:c r="V11" s="202" t="n">
        <x:v>0.0538999559</x:v>
      </x:c>
      <x:c r="W11" s="201" t="n">
        <x:v>101</x:v>
      </x:c>
      <x:c r="X11" s="202" t="n">
        <x:f>IFERROR(W11/$B11,0)</x:f>
        <x:v>0.21218487394957983</x:v>
      </x:c>
      <x:c r="Y11" s="202" t="n">
        <x:v>0.1778344427</x:v>
      </x:c>
      <x:c r="Z11" s="202" t="n">
        <x:v>0.2511436187</x:v>
      </x:c>
      <x:c r="AA11" s="201" t="n">
        <x:v>544</x:v>
      </x:c>
      <x:c r="AB11" s="209" t="n">
        <x:f>IFERROR(S11/AA11,0)</x:f>
        <x:v>0.029411764705882353</x:v>
      </x:c>
      <x:c r="AC11" s="209" t="n">
        <x:f>IFERROR(W11/AA11,0)</x:f>
        <x:v>0.18566176470588236</x:v>
      </x:c>
    </x:row>
    <x:row r="14" ht="38" customHeight="1">
      <x:c r="A14" s="184" t="str">
        <x:v>summary_type</x:v>
      </x:c>
      <x:c r="B14" s="184" t="str">
        <x:v>joint_lt3_rate</x:v>
      </x:c>
      <x:c r="C14" s="184" t="str">
        <x:v>joint_lt5_rate</x:v>
      </x:c>
      <x:c r="D14" s="184" t="str">
        <x:v>denominator</x:v>
      </x:c>
      <x:c r="E14" s="184" t="str">
        <x:v>note</x:v>
      </x:c>
    </x:row>
    <x:row r="15">
      <x:c r="A15" s="176" t="str">
        <x:v>pooled</x:v>
      </x:c>
      <x:c r="B15" s="210" t="n">
        <x:v>0.0336134454</x:v>
      </x:c>
      <x:c r="C15" s="210" t="n">
        <x:v>0.2121848739</x:v>
      </x:c>
      <x:c r="D15" s="176" t="n">
        <x:v>476</x:v>
      </x:c>
      <x:c r="E15" s="176" t="str">
        <x:v>all candidate rows pooled</x:v>
      </x:c>
    </x:row>
    <x:row r="16">
      <x:c r="A16" s="176" t="str">
        <x:v>target_macro_mean</x:v>
      </x:c>
      <x:c r="B16" s="210" t="n">
        <x:v>0.0436545729</x:v>
      </x:c>
      <x:c r="C16" s="210" t="n">
        <x:v>0.2307621567</x:v>
      </x:c>
      <x:c r="D16" s="176" t="n">
        <x:v>6</x:v>
      </x:c>
      <x:c r="E16" s="176" t="str">
        <x:v>unweighted mean of six target-specific rates</x:v>
      </x:c>
    </x:row>
    <x:row r="17">
      <x:c r="A17" s="176" t="str">
        <x:v>end_to_end_raw_pooled</x:v>
      </x:c>
      <x:c r="B17" s="211" t="n">
        <x:f>AB11</x:f>
        <x:v>0.029411764705882353</x:v>
      </x:c>
      <x:c r="C17" s="211" t="n">
        <x:f>AC11</x:f>
        <x:v>0.18566176470588236</x:v>
      </x:c>
      <x:c r="D17" s="176" t="n">
        <x:f>AA11</x:f>
        <x:v>544</x:v>
      </x:c>
      <x:c r="E17" s="176" t="str">
        <x:v>all 544 primary-directory T=0.5 sequences before methylation filtering</x:v>
      </x:c>
    </x:row>
  </x:sheetData>
  <x:mergeCells>
    <x:mergeCell ref="A1:AC1"/>
    <x:mergeCell ref="A2:AC2"/>
  </x:mergeCells>
  <x:pageMargins left="0.7" right="0.7" top="0.75" bottom="0.75" header="0.3" footer="0.3"/>
  <x:tableParts count="2">
    <x:tablePart xmlns:r="http://schemas.openxmlformats.org/officeDocument/2006/relationships" r:id="R360133df71f7491d"/>
    <x:tablePart xmlns:r="http://schemas.openxmlformats.org/officeDocument/2006/relationships" r:id="R28e9bd2d40c643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25" hidden="0" customWidth="1"/>
    <x:col min="5" max="5" width="25" hidden="0" customWidth="1"/>
    <x:col min="6" max="6" width="12" hidden="0" customWidth="1"/>
    <x:col min="7" max="7" width="12" hidden="0" customWidth="1"/>
    <x:col min="8" max="8" width="12" hidden="0" customWidth="1"/>
    <x:col min="9" max="9" width="17" hidden="0" customWidth="1"/>
    <x:col min="10" max="10" width="17" hidden="0" customWidth="1"/>
    <x:col min="11" max="11" width="15" hidden="0" customWidth="1"/>
    <x:col min="12" max="12" width="17" hidden="0" customWidth="1"/>
    <x:col min="13" max="13" width="17" hidden="0" customWidth="1"/>
    <x:col min="14" max="14" width="17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7" hidden="0" customWidth="1"/>
    <x:col min="24" max="24" width="17" hidden="0" customWidth="1"/>
    <x:col min="25" max="25" width="22" hidden="0" customWidth="1"/>
    <x:col min="26" max="26" width="22" hidden="0" customWidth="1"/>
    <x:col min="27" max="27" width="17" hidden="0" customWidth="1"/>
    <x:col min="28" max="28" width="17" hidden="0" customWidth="1"/>
    <x:col min="29" max="29" width="15" hidden="0" customWidth="1"/>
    <x:col min="30" max="30" width="55" hidden="0" customWidth="1"/>
  </x:cols>
  <x:sheetData>
    <x:row r="1" ht="34" customHeight="1">
      <x:c r="A1" s="3" t="str">
        <x:v>Supplementary Table S3. Target-wise RMSD-minimum representatives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34" customHeight="1">
      <x:c r="A2" s="7" t="str">
        <x:v>Exactly one target-wise oracle minimum per target. HighFold confidence is the exact source field highfold_ca_bfactor_mean and is not interchangeable with candidate-audit pdb_ca_bfactor_mean_plddt_proxy.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4" ht="38" customHeight="1">
      <x:c r="A4" s="172" t="str">
        <x:v>target_name</x:v>
      </x:c>
      <x:c r="B4" s="172" t="str">
        <x:v>temperature</x:v>
      </x:c>
      <x:c r="C4" s="172" t="str">
        <x:v>native_seq</x:v>
      </x:c>
      <x:c r="D4" s="172" t="str">
        <x:v>design_seq</x:v>
      </x:c>
      <x:c r="E4" s="172" t="str">
        <x:v>design_natural_seq</x:v>
      </x:c>
      <x:c r="F4" s="172" t="str">
        <x:v>design_length</x:v>
      </x:c>
      <x:c r="G4" s="172" t="str">
        <x:v>methyl_positions_1based</x:v>
      </x:c>
      <x:c r="H4" s="172" t="str">
        <x:v>design_methyl_count</x:v>
      </x:c>
      <x:c r="I4" s="172" t="str">
        <x:v>design_methyl_rate</x:v>
      </x:c>
      <x:c r="J4" s="172" t="str">
        <x:v>natural_aa_recovery</x:v>
      </x:c>
      <x:c r="K4" s="172" t="str">
        <x:v>pdb_file</x:v>
      </x:c>
      <x:c r="L4" s="172" t="str">
        <x:v>global_complex_ca_rmsd</x:v>
      </x:c>
      <x:c r="M4" s="172" t="str">
        <x:v>cyclic_peptide_ca_rmsd_after_global_complex_alignment_best_forward_cyclic_shift</x:v>
      </x:c>
      <x:c r="N4" s="172" t="str">
        <x:v>cyclic_peptide_ca_rmsd_after_global_complex_alignment_fixed_order</x:v>
      </x:c>
      <x:c r="O4" s="172" t="str">
        <x:v>cyclic_peptide_best_forward_cyclic_shift</x:v>
      </x:c>
      <x:c r="P4" s="172" t="str">
        <x:v>highfold_ca_bfactor_mean</x:v>
      </x:c>
      <x:c r="Q4" s="172" t="str">
        <x:v>permeability_pred</x:v>
      </x:c>
      <x:c r="R4" s="172" t="str">
        <x:v>permeability_log10_positive_only</x:v>
      </x:c>
      <x:c r="S4" s="172" t="str">
        <x:v>rosetta_complex_score_per_residue</x:v>
      </x:c>
      <x:c r="T4" s="172" t="str">
        <x:v>rosetta_cross_interface_energy_fixed_pose</x:v>
      </x:c>
      <x:c r="U4" s="172" t="str">
        <x:v>rosetta_cross_interface_energy_per_peptide_residue</x:v>
      </x:c>
      <x:c r="V4" s="172" t="str">
        <x:v>cross_interface_energy_lt_0</x:v>
      </x:c>
      <x:c r="W4" s="172" t="str">
        <x:v>rmsd_status</x:v>
      </x:c>
      <x:c r="X4" s="172" t="str">
        <x:v>methylation_site_rmsd_status</x:v>
      </x:c>
      <x:c r="Y4" s="172" t="str">
        <x:v>energy_status</x:v>
      </x:c>
      <x:c r="Z4" s="172" t="str">
        <x:v>energy_delta_status</x:v>
      </x:c>
      <x:c r="AA4" s="172" t="str">
        <x:v>binding_site_recovery_status</x:v>
      </x:c>
      <x:c r="AB4" s="172" t="str">
        <x:v>primary_rmsd_definition</x:v>
      </x:c>
      <x:c r="AC4" s="172" t="str">
        <x:v>selection_conditioned_oracle</x:v>
      </x:c>
      <x:c r="AD4" s="172" t="str">
        <x:v>selection_note</x:v>
      </x:c>
    </x:row>
    <x:row r="5">
      <x:c r="A5" s="219" t="str">
        <x:v>1SFI</x:v>
      </x:c>
      <x:c r="B5" s="221" t="n">
        <x:v>0.5</x:v>
      </x:c>
      <x:c r="C5" s="219" t="str">
        <x:v>GRCTKSIPPICFPD</x:v>
      </x:c>
      <x:c r="D5" s="219" t="str">
        <x:v>RCCrGNCGQCQFGG</x:v>
      </x:c>
      <x:c r="E5" s="219" t="str">
        <x:v>RCCRGNCGQCQFGG</x:v>
      </x:c>
      <x:c r="F5" s="219" t="n">
        <x:v>14</x:v>
      </x:c>
      <x:c r="G5" s="219" t="str">
        <x:v>4</x:v>
      </x:c>
      <x:c r="H5" s="219" t="n">
        <x:v>1</x:v>
      </x:c>
      <x:c r="I5" s="222" t="n">
        <x:v>0.0714285714</x:v>
      </x:c>
      <x:c r="J5" s="222" t="n">
        <x:v>0.1428571429</x:v>
      </x:c>
      <x:c r="K5" s="219" t="str">
        <x:v>1sfi_23_RCCrGNCGQCQFGG_model.pdb</x:v>
      </x:c>
      <x:c r="L5" s="223" t="n">
        <x:v>0.536454</x:v>
      </x:c>
      <x:c r="M5" s="223" t="n">
        <x:v>2.818333</x:v>
      </x:c>
      <x:c r="N5" s="223" t="n">
        <x:v>3.954223</x:v>
      </x:c>
      <x:c r="O5" s="219" t="n">
        <x:v>1</x:v>
      </x:c>
      <x:c r="P5" s="223" t="n">
        <x:v>93.4926694915</x:v>
      </x:c>
      <x:c r="Q5" s="224" t="n">
        <x:v>0.4537699819</x:v>
      </x:c>
      <x:c r="R5" s="223" t="n">
        <x:v>-0.3431642373</x:v>
      </x:c>
      <x:c r="S5" s="219" t="n">
        <x:v>2.7334264749</x:v>
      </x:c>
      <x:c r="T5" s="223" t="n">
        <x:v>31.7724301109</x:v>
      </x:c>
      <x:c r="U5" s="223" t="n">
        <x:v>2.2694592936</x:v>
      </x:c>
      <x:c r="V5" s="223" t="n">
        <x:v>0</x:v>
      </x:c>
      <x:c r="W5" s="223" t="str">
        <x:v>ok</x:v>
      </x:c>
      <x:c r="X5" s="223" t="str">
        <x:v>ok</x:v>
      </x:c>
      <x:c r="Y5" s="223" t="str">
        <x:v>ok</x:v>
      </x:c>
      <x:c r="Z5" s="223" t="str">
        <x:v>not_estimable_native_reference_energy_not_computed_by_fixed_pose_workflow</x:v>
      </x:c>
      <x:c r="AA5" s="219" t="str">
        <x:v>not_computed_no_validated_binding_site_definition_in_previous_workflow</x:v>
      </x:c>
      <x:c r="AB5" s="225" t="str">
        <x:v>one global PyMOL complex alignment then complete final-chain CA RMSD with best forward cyclic shift and no peptide-only second fit</x:v>
      </x:c>
      <x:c r="AC5" s="220" t="b">
        <x:v>1</x:v>
      </x:c>
      <x:c r="AD5" s="226" t="str">
        <x:v>minimum cyclic RMSD among T0.5 methylated candidates within target; not an unsupervised model success rate</x:v>
      </x:c>
    </x:row>
    <x:row r="6">
      <x:c r="A6" s="219" t="str">
        <x:v>3P8F</x:v>
      </x:c>
      <x:c r="B6" s="221" t="n">
        <x:v>0.5</x:v>
      </x:c>
      <x:c r="C6" s="219" t="str">
        <x:v>GRCTKSIPPICFPD</x:v>
      </x:c>
      <x:c r="D6" s="219" t="str">
        <x:v>CrrrGrQGKGrRGC</x:v>
      </x:c>
      <x:c r="E6" s="219" t="str">
        <x:v>CRRRGRQGKGRRGC</x:v>
      </x:c>
      <x:c r="F6" s="219" t="n">
        <x:v>14</x:v>
      </x:c>
      <x:c r="G6" s="219" t="str">
        <x:v>2,3,4,6,11</x:v>
      </x:c>
      <x:c r="H6" s="219" t="n">
        <x:v>5</x:v>
      </x:c>
      <x:c r="I6" s="222" t="n">
        <x:v>0.3571428571</x:v>
      </x:c>
      <x:c r="J6" s="222" t="n">
        <x:v>0.0714285714</x:v>
      </x:c>
      <x:c r="K6" s="219" t="str">
        <x:v>3p8f_26_CrrrGrQGKGrRGC_model.pdb</x:v>
      </x:c>
      <x:c r="L6" s="223" t="n">
        <x:v>0.30011</x:v>
      </x:c>
      <x:c r="M6" s="223" t="n">
        <x:v>2.075042</x:v>
      </x:c>
      <x:c r="N6" s="223" t="n">
        <x:v>10.481723</x:v>
      </x:c>
      <x:c r="O6" s="219" t="n">
        <x:v>10</x:v>
      </x:c>
      <x:c r="P6" s="223" t="n">
        <x:v>91.56876</x:v>
      </x:c>
      <x:c r="Q6" s="224" t="n">
        <x:v>7.568795181e-35</x:v>
      </x:c>
      <x:c r="R6" s="223" t="n">
        <x:v>-34.120973247</x:v>
      </x:c>
      <x:c r="S6" s="219" t="n">
        <x:v>-0.6350283518</x:v>
      </x:c>
      <x:c r="T6" s="223" t="n">
        <x:v>-25.7273414997</x:v>
      </x:c>
      <x:c r="U6" s="223" t="n">
        <x:v>-1.83766725</x:v>
      </x:c>
      <x:c r="V6" s="223" t="n">
        <x:v>1</x:v>
      </x:c>
      <x:c r="W6" s="223" t="str">
        <x:v>ok</x:v>
      </x:c>
      <x:c r="X6" s="223" t="str">
        <x:v>ok</x:v>
      </x:c>
      <x:c r="Y6" s="223" t="str">
        <x:v>ok</x:v>
      </x:c>
      <x:c r="Z6" s="223" t="str">
        <x:v>not_estimable_native_reference_energy_not_computed_by_fixed_pose_workflow</x:v>
      </x:c>
      <x:c r="AA6" s="219" t="str">
        <x:v>not_computed_no_validated_binding_site_definition_in_previous_workflow</x:v>
      </x:c>
      <x:c r="AB6" s="225" t="str">
        <x:v>one global PyMOL complex alignment then complete final-chain CA RMSD with best forward cyclic shift and no peptide-only second fit</x:v>
      </x:c>
      <x:c r="AC6" s="220" t="b">
        <x:v>1</x:v>
      </x:c>
      <x:c r="AD6" s="226" t="str">
        <x:v>minimum cyclic RMSD among T0.5 methylated candidates within target; not an unsupervised model success rate</x:v>
      </x:c>
    </x:row>
    <x:row r="7">
      <x:c r="A7" s="219" t="str">
        <x:v>3WNE</x:v>
      </x:c>
      <x:c r="B7" s="221" t="n">
        <x:v>0.5</x:v>
      </x:c>
      <x:c r="C7" s="219" t="str">
        <x:v>PKIDNG</x:v>
      </x:c>
      <x:c r="D7" s="219" t="str">
        <x:v>GrKWNC</x:v>
      </x:c>
      <x:c r="E7" s="219" t="str">
        <x:v>GRKWNC</x:v>
      </x:c>
      <x:c r="F7" s="219" t="n">
        <x:v>6</x:v>
      </x:c>
      <x:c r="G7" s="219" t="str">
        <x:v>2</x:v>
      </x:c>
      <x:c r="H7" s="219" t="n">
        <x:v>1</x:v>
      </x:c>
      <x:c r="I7" s="222" t="n">
        <x:v>0.1666666667</x:v>
      </x:c>
      <x:c r="J7" s="222" t="n">
        <x:v>0.1666666667</x:v>
      </x:c>
      <x:c r="K7" s="219" t="str">
        <x:v>3wne_84_GrKWNC_model.pdb</x:v>
      </x:c>
      <x:c r="L7" s="223" t="n">
        <x:v>0.933407</x:v>
      </x:c>
      <x:c r="M7" s="223" t="n">
        <x:v>1.458877</x:v>
      </x:c>
      <x:c r="N7" s="223" t="n">
        <x:v>4.408942</x:v>
      </x:c>
      <x:c r="O7" s="219" t="n">
        <x:v>5</x:v>
      </x:c>
      <x:c r="P7" s="223" t="n">
        <x:v>90.026677116</x:v>
      </x:c>
      <x:c r="Q7" s="224" t="n">
        <x:v>0.0864483789</x:v>
      </x:c>
      <x:c r="R7" s="223" t="n">
        <x:v>-1.0632431465</x:v>
      </x:c>
      <x:c r="S7" s="219" t="n">
        <x:v>2.0443699382</x:v>
      </x:c>
      <x:c r="T7" s="223" t="n">
        <x:v>0.7262509849</x:v>
      </x:c>
      <x:c r="U7" s="223" t="n">
        <x:v>0.1210418308</x:v>
      </x:c>
      <x:c r="V7" s="223" t="n">
        <x:v>0</x:v>
      </x:c>
      <x:c r="W7" s="223" t="str">
        <x:v>ok</x:v>
      </x:c>
      <x:c r="X7" s="223" t="str">
        <x:v>ok</x:v>
      </x:c>
      <x:c r="Y7" s="223" t="str">
        <x:v>ok</x:v>
      </x:c>
      <x:c r="Z7" s="223" t="str">
        <x:v>not_estimable_native_reference_energy_not_computed_by_fixed_pose_workflow</x:v>
      </x:c>
      <x:c r="AA7" s="219" t="str">
        <x:v>not_computed_no_validated_binding_site_definition_in_previous_workflow</x:v>
      </x:c>
      <x:c r="AB7" s="225" t="str">
        <x:v>one global PyMOL complex alignment then complete final-chain CA RMSD with best forward cyclic shift and no peptide-only second fit</x:v>
      </x:c>
      <x:c r="AC7" s="220" t="b">
        <x:v>1</x:v>
      </x:c>
      <x:c r="AD7" s="226" t="str">
        <x:v>minimum cyclic RMSD among T0.5 methylated candidates within target; not an unsupervised model success rate</x:v>
      </x:c>
    </x:row>
    <x:row r="8">
      <x:c r="A8" s="219" t="str">
        <x:v>3ZGC</x:v>
      </x:c>
      <x:c r="B8" s="221" t="n">
        <x:v>0.5</x:v>
      </x:c>
      <x:c r="C8" s="219" t="str">
        <x:v>GDEETGE</x:v>
      </x:c>
      <x:c r="D8" s="219" t="str">
        <x:v>rEGGQNR</x:v>
      </x:c>
      <x:c r="E8" s="219" t="str">
        <x:v>REGGQNR</x:v>
      </x:c>
      <x:c r="F8" s="219" t="n">
        <x:v>7</x:v>
      </x:c>
      <x:c r="G8" s="219" t="str">
        <x:v>1</x:v>
      </x:c>
      <x:c r="H8" s="219" t="n">
        <x:v>1</x:v>
      </x:c>
      <x:c r="I8" s="222" t="n">
        <x:v>0.1428571429</x:v>
      </x:c>
      <x:c r="J8" s="222" t="n">
        <x:v>0</x:v>
      </x:c>
      <x:c r="K8" s="219" t="str">
        <x:v>3zgc_22_rEGGQNR_model.pdb</x:v>
      </x:c>
      <x:c r="L8" s="223" t="n">
        <x:v>0.972879</x:v>
      </x:c>
      <x:c r="M8" s="223" t="n">
        <x:v>2.075724</x:v>
      </x:c>
      <x:c r="N8" s="223" t="n">
        <x:v>6.222267</x:v>
      </x:c>
      <x:c r="O8" s="219" t="n">
        <x:v>2</x:v>
      </x:c>
      <x:c r="P8" s="223" t="n">
        <x:v>89.9065495208</x:v>
      </x:c>
      <x:c r="Q8" s="224" t="n">
        <x:v>1.044e-7</x:v>
      </x:c>
      <x:c r="R8" s="223" t="n">
        <x:v>-6.9811889033</x:v>
      </x:c>
      <x:c r="S8" s="219" t="n">
        <x:v>-1.5351923077</x:v>
      </x:c>
      <x:c r="T8" s="223" t="n">
        <x:v>15.9489900603</x:v>
      </x:c>
      <x:c r="U8" s="223" t="n">
        <x:v>2.2784271515</x:v>
      </x:c>
      <x:c r="V8" s="223" t="n">
        <x:v>0</x:v>
      </x:c>
      <x:c r="W8" s="223" t="str">
        <x:v>ok</x:v>
      </x:c>
      <x:c r="X8" s="223" t="str">
        <x:v>ok</x:v>
      </x:c>
      <x:c r="Y8" s="223" t="str">
        <x:v>ok</x:v>
      </x:c>
      <x:c r="Z8" s="223" t="str">
        <x:v>not_estimable_native_reference_energy_not_computed_by_fixed_pose_workflow</x:v>
      </x:c>
      <x:c r="AA8" s="219" t="str">
        <x:v>not_computed_no_validated_binding_site_definition_in_previous_workflow</x:v>
      </x:c>
      <x:c r="AB8" s="225" t="str">
        <x:v>one global PyMOL complex alignment then complete final-chain CA RMSD with best forward cyclic shift and no peptide-only second fit</x:v>
      </x:c>
      <x:c r="AC8" s="220" t="b">
        <x:v>1</x:v>
      </x:c>
      <x:c r="AD8" s="226" t="str">
        <x:v>minimum cyclic RMSD among T0.5 methylated candidates within target; not an unsupervised model success rate</x:v>
      </x:c>
    </x:row>
    <x:row r="9">
      <x:c r="A9" s="219" t="str">
        <x:v>4K1E</x:v>
      </x:c>
      <x:c r="B9" s="221" t="n">
        <x:v>0.5</x:v>
      </x:c>
      <x:c r="C9" s="219" t="str">
        <x:v>GFCQRSIPPICFPD</x:v>
      </x:c>
      <x:c r="D9" s="219" t="str">
        <x:v>rcrrrQCrQGNCDR</x:v>
      </x:c>
      <x:c r="E9" s="219" t="str">
        <x:v>RCRRRQCRQGNCDR</x:v>
      </x:c>
      <x:c r="F9" s="219" t="n">
        <x:v>14</x:v>
      </x:c>
      <x:c r="G9" s="219" t="str">
        <x:v>1,2,3,4,5,8</x:v>
      </x:c>
      <x:c r="H9" s="219" t="n">
        <x:v>6</x:v>
      </x:c>
      <x:c r="I9" s="222" t="n">
        <x:v>0.4285714286</x:v>
      </x:c>
      <x:c r="J9" s="222" t="n">
        <x:v>0.0714285714</x:v>
      </x:c>
      <x:c r="K9" s="219" t="str">
        <x:v>4k1e_72_rcrrrQCrQGNCDR_model.pdb</x:v>
      </x:c>
      <x:c r="L9" s="223" t="n">
        <x:v>0.899695</x:v>
      </x:c>
      <x:c r="M9" s="223" t="n">
        <x:v>1.916051</x:v>
      </x:c>
      <x:c r="N9" s="223" t="n">
        <x:v>10.587474</x:v>
      </x:c>
      <x:c r="O9" s="219" t="n">
        <x:v>4</x:v>
      </x:c>
      <x:c r="P9" s="223" t="n">
        <x:v>89.0355411255</x:v>
      </x:c>
      <x:c r="Q9" s="224" t="n">
        <x:v>6.141272082e-32</x:v>
      </x:c>
      <x:c r="R9" s="223" t="n">
        <x:v>-31.2117416613</x:v>
      </x:c>
      <x:c r="S9" s="219" t="n">
        <x:v>4.2490796804</x:v>
      </x:c>
      <x:c r="T9" s="223" t="n">
        <x:v>434.2355088381</x:v>
      </x:c>
      <x:c r="U9" s="223" t="n">
        <x:v>31.0168220599</x:v>
      </x:c>
      <x:c r="V9" s="223" t="n">
        <x:v>0</x:v>
      </x:c>
      <x:c r="W9" s="223" t="str">
        <x:v>ok</x:v>
      </x:c>
      <x:c r="X9" s="223" t="str">
        <x:v>ok</x:v>
      </x:c>
      <x:c r="Y9" s="223" t="str">
        <x:v>ok</x:v>
      </x:c>
      <x:c r="Z9" s="223" t="str">
        <x:v>not_estimable_native_reference_energy_not_computed_by_fixed_pose_workflow</x:v>
      </x:c>
      <x:c r="AA9" s="219" t="str">
        <x:v>not_computed_no_validated_binding_site_definition_in_previous_workflow</x:v>
      </x:c>
      <x:c r="AB9" s="225" t="str">
        <x:v>one global PyMOL complex alignment then complete final-chain CA RMSD with best forward cyclic shift and no peptide-only second fit</x:v>
      </x:c>
      <x:c r="AC9" s="220" t="b">
        <x:v>1</x:v>
      </x:c>
      <x:c r="AD9" s="226" t="str">
        <x:v>minimum cyclic RMSD among T0.5 methylated candidates within target; not an unsupervised model success rate</x:v>
      </x:c>
    </x:row>
    <x:row r="10">
      <x:c r="A10" s="219" t="str">
        <x:v>4KEL</x:v>
      </x:c>
      <x:c r="B10" s="221" t="n">
        <x:v>0.5</x:v>
      </x:c>
      <x:c r="C10" s="219" t="str">
        <x:v>GFCQRSIPPICFPN</x:v>
      </x:c>
      <x:c r="D10" s="219" t="str">
        <x:v>RcrrGNCrQGFCDR</x:v>
      </x:c>
      <x:c r="E10" s="219" t="str">
        <x:v>RCRRGNCRQGFCDR</x:v>
      </x:c>
      <x:c r="F10" s="219" t="n">
        <x:v>14</x:v>
      </x:c>
      <x:c r="G10" s="219" t="str">
        <x:v>2,3,4,8</x:v>
      </x:c>
      <x:c r="H10" s="219" t="n">
        <x:v>4</x:v>
      </x:c>
      <x:c r="I10" s="222" t="n">
        <x:v>0.2857142857</x:v>
      </x:c>
      <x:c r="J10" s="222" t="n">
        <x:v>0</x:v>
      </x:c>
      <x:c r="K10" s="219" t="str">
        <x:v>4kel_68_RcrrGNCrQGFCDR_model.pdb</x:v>
      </x:c>
      <x:c r="L10" s="223" t="n">
        <x:v>0.6545</x:v>
      </x:c>
      <x:c r="M10" s="223" t="n">
        <x:v>2.379375</x:v>
      </x:c>
      <x:c r="N10" s="223" t="n">
        <x:v>11.604233</x:v>
      </x:c>
      <x:c r="O10" s="219" t="n">
        <x:v>5</x:v>
      </x:c>
      <x:c r="P10" s="223" t="n">
        <x:v>91.4910729614</x:v>
      </x:c>
      <x:c r="Q10" s="224" t="n">
        <x:v>0.0021353066</x:v>
      </x:c>
      <x:c r="R10" s="223" t="n">
        <x:v>-2.6705397582</x:v>
      </x:c>
      <x:c r="S10" s="219" t="n">
        <x:v>0.2188697395</x:v>
      </x:c>
      <x:c r="T10" s="223" t="n">
        <x:v>416.7736547897</x:v>
      </x:c>
      <x:c r="U10" s="223" t="n">
        <x:v>29.7695467707</x:v>
      </x:c>
      <x:c r="V10" s="223" t="n">
        <x:v>0</x:v>
      </x:c>
      <x:c r="W10" s="223" t="str">
        <x:v>ok</x:v>
      </x:c>
      <x:c r="X10" s="223" t="str">
        <x:v>ok</x:v>
      </x:c>
      <x:c r="Y10" s="223" t="str">
        <x:v>ok</x:v>
      </x:c>
      <x:c r="Z10" s="223" t="str">
        <x:v>not_estimable_native_reference_energy_not_computed_by_fixed_pose_workflow</x:v>
      </x:c>
      <x:c r="AA10" s="219" t="str">
        <x:v>not_computed_no_validated_binding_site_definition_in_previous_workflow</x:v>
      </x:c>
      <x:c r="AB10" s="225" t="str">
        <x:v>one global PyMOL complex alignment then complete final-chain CA RMSD with best forward cyclic shift and no peptide-only second fit</x:v>
      </x:c>
      <x:c r="AC10" s="220" t="b">
        <x:v>1</x:v>
      </x:c>
      <x:c r="AD10" s="226" t="str">
        <x:v>minimum cyclic RMSD among T0.5 methylated candidates within target; not an unsupervised model success rate</x:v>
      </x:c>
    </x:row>
  </x:sheetData>
  <x:mergeCells>
    <x:mergeCell ref="A1:AD1"/>
    <x:mergeCell ref="A2:AD2"/>
  </x:mergeCells>
  <x:pageMargins left="0.7" right="0.7" top="0.75" bottom="0.75" header="0.3" footer="0.3"/>
  <x:tableParts count="1">
    <x:tablePart xmlns:r="http://schemas.openxmlformats.org/officeDocument/2006/relationships" r:id="R4185775c5fe345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5" hidden="0" customWidth="1"/>
    <x:col min="3" max="3" width="15" hidden="0" customWidth="1"/>
    <x:col min="4" max="4" width="12" hidden="0" customWidth="1"/>
    <x:col min="5" max="5" width="15" hidden="0" customWidth="1"/>
    <x:col min="6" max="6" width="15" hidden="0" customWidth="1"/>
    <x:col min="7" max="7" width="17" hidden="0" customWidth="1"/>
    <x:col min="8" max="8" width="17" hidden="0" customWidth="1"/>
    <x:col min="9" max="9" width="15" hidden="0" customWidth="1"/>
    <x:col min="10" max="10" width="15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55" hidden="0" customWidth="1"/>
  </x:cols>
  <x:sheetData>
    <x:row r="1" ht="34" customHeight="1">
      <x:c r="A1" s="3" t="str">
        <x:v>Table 4. Original checkpoint model performance at confidence &gt;0.6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4" customHeight="1">
      <x:c r="A2" s="7" t="str">
        <x:v>Paper-primary model metrics use Ser-provenance-corrected truth. Metrics that are mathematically undefined are blank, never zero-filled.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38" customHeight="1">
      <x:c r="A4" s="172" t="str">
        <x:v>dataset</x:v>
      </x:c>
      <x:c r="B4" s="172" t="str">
        <x:v>ground_truth</x:v>
      </x:c>
      <x:c r="C4" s="172" t="str">
        <x:v>task</x:v>
      </x:c>
      <x:c r="D4" s="172" t="str">
        <x:v>positions</x:v>
      </x:c>
      <x:c r="E4" s="172" t="str">
        <x:v>positives</x:v>
      </x:c>
      <x:c r="F4" s="172" t="str">
        <x:v>negatives</x:v>
      </x:c>
      <x:c r="G4" s="172" t="str">
        <x:v>base_recovery</x:v>
      </x:c>
      <x:c r="H4" s="172" t="str">
        <x:v>auc</x:v>
      </x:c>
      <x:c r="I4" s="172" t="str">
        <x:v>threshold</x:v>
      </x:c>
      <x:c r="J4" s="172" t="str">
        <x:v>operator</x:v>
      </x:c>
      <x:c r="K4" s="172" t="str">
        <x:v>accuracy</x:v>
      </x:c>
      <x:c r="L4" s="172" t="str">
        <x:v>precision</x:v>
      </x:c>
      <x:c r="M4" s="172" t="str">
        <x:v>recall</x:v>
      </x:c>
      <x:c r="N4" s="172" t="str">
        <x:v>f1</x:v>
      </x:c>
      <x:c r="O4" s="172" t="str">
        <x:v>false_positive_rate</x:v>
      </x:c>
      <x:c r="P4" s="172" t="str">
        <x:v>pred_methyl_rate</x:v>
      </x:c>
      <x:c r="Q4" s="172" t="str">
        <x:v>tp</x:v>
      </x:c>
      <x:c r="R4" s="172" t="str">
        <x:v>tn</x:v>
      </x:c>
      <x:c r="S4" s="172" t="str">
        <x:v>fp</x:v>
      </x:c>
      <x:c r="T4" s="172" t="str">
        <x:v>fn</x:v>
      </x:c>
      <x:c r="U4" s="172" t="str">
        <x:v>reportability</x:v>
      </x:c>
    </x:row>
    <x:row r="5">
      <x:c r="A5" s="176" t="str">
        <x:v>Monomer held-out positions</x:v>
      </x:c>
      <x:c r="B5" s="176" t="str">
        <x:v>Ser-provenance-corrected labels</x:v>
      </x:c>
      <x:c r="C5" s="176" t="str">
        <x:v>Known natural sequence</x:v>
      </x:c>
      <x:c r="D5" s="176" t="n">
        <x:v>1505</x:v>
      </x:c>
      <x:c r="E5" s="176" t="n">
        <x:v>261</x:v>
      </x:c>
      <x:c r="F5" s="176" t="n">
        <x:v>1244</x:v>
      </x:c>
      <x:c r="G5" s="210" t="n">
        <x:v>0.1607973422</x:v>
      </x:c>
      <x:c r="H5" s="227" t="n">
        <x:v>0.9002907442</x:v>
      </x:c>
      <x:c r="I5" s="228" t="n">
        <x:v>0.6</x:v>
      </x:c>
      <x:c r="J5" s="176" t="str">
        <x:v>&gt;</x:v>
      </x:c>
      <x:c r="K5" s="210" t="n">
        <x:v>0.8617940199</x:v>
      </x:c>
      <x:c r="L5" s="210" t="n">
        <x:v>0.6402116402</x:v>
      </x:c>
      <x:c r="M5" s="210" t="n">
        <x:v>0.4636015326</x:v>
      </x:c>
      <x:c r="N5" s="210" t="n">
        <x:v>0.5377777778</x:v>
      </x:c>
      <x:c r="O5" s="210" t="n">
        <x:v>0.0546623794</x:v>
      </x:c>
      <x:c r="P5" s="210" t="n">
        <x:v>0.1255813953</x:v>
      </x:c>
      <x:c r="Q5" s="176" t="n">
        <x:v>121</x:v>
      </x:c>
      <x:c r="R5" s="176" t="n">
        <x:v>1176</x:v>
      </x:c>
      <x:c r="S5" s="176" t="n">
        <x:v>68</x:v>
      </x:c>
      <x:c r="T5" s="176" t="n">
        <x:v>140</x:v>
      </x:c>
      <x:c r="U5" s="176" t="str">
        <x:v>reportable</x:v>
      </x:c>
    </x:row>
    <x:row r="6">
      <x:c r="A6" s="176" t="str">
        <x:v>Monomer held-out positions</x:v>
      </x:c>
      <x:c r="B6" s="176" t="str">
        <x:v>Ser-provenance-corrected labels</x:v>
      </x:c>
      <x:c r="C6" s="176" t="str">
        <x:v>End-to-end</x:v>
      </x:c>
      <x:c r="D6" s="176" t="n">
        <x:v>1505</x:v>
      </x:c>
      <x:c r="E6" s="176" t="n">
        <x:v>261</x:v>
      </x:c>
      <x:c r="F6" s="176" t="n">
        <x:v>1244</x:v>
      </x:c>
      <x:c r="G6" s="210" t="n">
        <x:v>0.1607973422</x:v>
      </x:c>
      <x:c r="H6" s="227" t="n">
        <x:v>0.9081660938</x:v>
      </x:c>
      <x:c r="I6" s="228" t="n">
        <x:v>0.6</x:v>
      </x:c>
      <x:c r="J6" s="176" t="str">
        <x:v>&gt;</x:v>
      </x:c>
      <x:c r="K6" s="210" t="n">
        <x:v>0.8910299003</x:v>
      </x:c>
      <x:c r="L6" s="210" t="n">
        <x:v>0.888</x:v>
      </x:c>
      <x:c r="M6" s="210" t="n">
        <x:v>0.4252873563</x:v>
      </x:c>
      <x:c r="N6" s="210" t="n">
        <x:v>0.5751295337</x:v>
      </x:c>
      <x:c r="O6" s="210" t="n">
        <x:v>0.0112540193</x:v>
      </x:c>
      <x:c r="P6" s="210" t="n">
        <x:v>0.0830564784</x:v>
      </x:c>
      <x:c r="Q6" s="176" t="n">
        <x:v>111</x:v>
      </x:c>
      <x:c r="R6" s="176" t="n">
        <x:v>1230</x:v>
      </x:c>
      <x:c r="S6" s="176" t="n">
        <x:v>14</x:v>
      </x:c>
      <x:c r="T6" s="176" t="n">
        <x:v>150</x:v>
      </x:c>
      <x:c r="U6" s="176" t="str">
        <x:v>reportable</x:v>
      </x:c>
    </x:row>
    <x:row r="7">
      <x:c r="A7" s="176" t="str">
        <x:v>Six complexes, seven selected peptide chains</x:v>
      </x:c>
      <x:c r="B7" s="176" t="str">
        <x:v>All observed positions are unmethylated</x:v>
      </x:c>
      <x:c r="C7" s="176" t="str">
        <x:v>Known natural sequence</x:v>
      </x:c>
      <x:c r="D7" s="176" t="n">
        <x:v>75</x:v>
      </x:c>
      <x:c r="E7" s="176" t="n">
        <x:v>0</x:v>
      </x:c>
      <x:c r="F7" s="176" t="n">
        <x:v>75</x:v>
      </x:c>
      <x:c r="G7" s="210" t="n">
        <x:v>0.3866666667</x:v>
      </x:c>
      <x:c r="H7" s="227"/>
      <x:c r="I7" s="228" t="n">
        <x:v>0.6</x:v>
      </x:c>
      <x:c r="J7" s="176" t="str">
        <x:v>&gt;</x:v>
      </x:c>
      <x:c r="K7" s="210" t="n">
        <x:v>0.9466666667</x:v>
      </x:c>
      <x:c r="L7" s="210"/>
      <x:c r="M7" s="210"/>
      <x:c r="N7" s="210"/>
      <x:c r="O7" s="210" t="n">
        <x:v>0.0533333333</x:v>
      </x:c>
      <x:c r="P7" s="210" t="n">
        <x:v>0.0533333333</x:v>
      </x:c>
      <x:c r="Q7" s="176" t="n">
        <x:v>0</x:v>
      </x:c>
      <x:c r="R7" s="176" t="n">
        <x:v>71</x:v>
      </x:c>
      <x:c r="S7" s="176" t="n">
        <x:v>4</x:v>
      </x:c>
      <x:c r="T7" s="176" t="n">
        <x:v>0</x:v>
      </x:c>
      <x:c r="U7" s="176" t="str">
        <x:v>AUC/precision/recall/F1 not reportable: no positive labels</x:v>
      </x:c>
    </x:row>
    <x:row r="8">
      <x:c r="A8" s="176" t="str">
        <x:v>Six complexes, seven selected peptide chains</x:v>
      </x:c>
      <x:c r="B8" s="176" t="str">
        <x:v>All observed positions are unmethylated</x:v>
      </x:c>
      <x:c r="C8" s="176" t="str">
        <x:v>End-to-end</x:v>
      </x:c>
      <x:c r="D8" s="176" t="n">
        <x:v>75</x:v>
      </x:c>
      <x:c r="E8" s="176" t="n">
        <x:v>0</x:v>
      </x:c>
      <x:c r="F8" s="176" t="n">
        <x:v>75</x:v>
      </x:c>
      <x:c r="G8" s="210" t="n">
        <x:v>0.3866666667</x:v>
      </x:c>
      <x:c r="H8" s="227"/>
      <x:c r="I8" s="228" t="n">
        <x:v>0.6</x:v>
      </x:c>
      <x:c r="J8" s="176" t="str">
        <x:v>&gt;</x:v>
      </x:c>
      <x:c r="K8" s="210" t="n">
        <x:v>0.9733333333</x:v>
      </x:c>
      <x:c r="L8" s="210"/>
      <x:c r="M8" s="210"/>
      <x:c r="N8" s="210"/>
      <x:c r="O8" s="210" t="n">
        <x:v>0.0266666667</x:v>
      </x:c>
      <x:c r="P8" s="210" t="n">
        <x:v>0.0266666667</x:v>
      </x:c>
      <x:c r="Q8" s="176" t="n">
        <x:v>0</x:v>
      </x:c>
      <x:c r="R8" s="176" t="n">
        <x:v>73</x:v>
      </x:c>
      <x:c r="S8" s="176" t="n">
        <x:v>2</x:v>
      </x:c>
      <x:c r="T8" s="176" t="n">
        <x:v>0</x:v>
      </x:c>
      <x:c r="U8" s="176" t="str">
        <x:v>AUC/precision/recall/F1 not reportable: no positive labels</x:v>
      </x:c>
    </x:row>
    <x:row r="12">
      <x:c r="A12" s="229" t="str">
        <x:v>Historical-label audit (contains 62 Ser-provenance errors; appendix only)</x:v>
      </x:c>
      <x:c r="B12" s="229"/>
      <x:c r="C12" s="229"/>
      <x:c r="D12" s="229"/>
      <x:c r="E12" s="229"/>
      <x:c r="F12" s="229"/>
      <x:c r="G12" s="229"/>
      <x:c r="H12" s="229"/>
      <x:c r="I12" s="229"/>
      <x:c r="J12" s="229"/>
      <x:c r="K12" s="229"/>
      <x:c r="L12" s="229"/>
      <x:c r="M12" s="229"/>
      <x:c r="N12" s="229"/>
      <x:c r="O12" s="229"/>
      <x:c r="P12" s="229"/>
      <x:c r="Q12" s="229"/>
      <x:c r="R12" s="229"/>
      <x:c r="S12" s="229"/>
      <x:c r="T12" s="229"/>
      <x:c r="U12" s="229"/>
    </x:row>
    <x:row r="14" ht="38" customHeight="1">
      <x:c r="A14" s="184" t="str">
        <x:v>phase</x:v>
      </x:c>
      <x:c r="B14" s="184" t="str">
        <x:v>ground_truth</x:v>
      </x:c>
      <x:c r="C14" s="184" t="str">
        <x:v>threshold</x:v>
      </x:c>
      <x:c r="D14" s="184" t="str">
        <x:v>accuracy</x:v>
      </x:c>
      <x:c r="E14" s="184" t="str">
        <x:v>precision</x:v>
      </x:c>
      <x:c r="F14" s="184" t="str">
        <x:v>recall</x:v>
      </x:c>
      <x:c r="G14" s="184" t="str">
        <x:v>f1</x:v>
      </x:c>
      <x:c r="H14" s="184" t="str">
        <x:v>false_positive_rate</x:v>
      </x:c>
      <x:c r="I14" s="184" t="str">
        <x:v>pred_methyl_rate</x:v>
      </x:c>
      <x:c r="J14" s="184" t="str">
        <x:v>tp</x:v>
      </x:c>
      <x:c r="K14" s="184" t="str">
        <x:v>tn</x:v>
      </x:c>
      <x:c r="L14" s="184" t="str">
        <x:v>fp</x:v>
      </x:c>
      <x:c r="M14" s="184" t="str">
        <x:v>fn</x:v>
      </x:c>
      <x:c r="N14" s="184" t="str">
        <x:v>input_mode</x:v>
      </x:c>
      <x:c r="O14" s="184" t="str">
        <x:v>task</x:v>
      </x:c>
    </x:row>
    <x:row r="15">
      <x:c r="A15" s="176" t="str">
        <x:v>pre_as_originally_reported</x:v>
      </x:c>
      <x:c r="B15" s="176" t="str">
        <x:v>historical pre-correction labels (contains provenance error)</x:v>
      </x:c>
      <x:c r="C15" s="176" t="n">
        <x:v>0.6</x:v>
      </x:c>
      <x:c r="D15" s="210" t="n">
        <x:v>0.9029900332</x:v>
      </x:c>
      <x:c r="E15" s="210" t="n">
        <x:v>0.9682539683</x:v>
      </x:c>
      <x:c r="F15" s="210" t="n">
        <x:v>0.5665634675</x:v>
      </x:c>
      <x:c r="G15" s="210" t="n">
        <x:v>0.71484375</x:v>
      </x:c>
      <x:c r="H15" s="210" t="n">
        <x:v>0.0050761421</x:v>
      </x:c>
      <x:c r="I15" s="210" t="n">
        <x:v>0.1255813953</x:v>
      </x:c>
      <x:c r="J15" s="176" t="n">
        <x:v>183</x:v>
      </x:c>
      <x:c r="K15" s="176" t="n">
        <x:v>1176</x:v>
      </x:c>
      <x:c r="L15" s="176" t="n">
        <x:v>6</x:v>
      </x:c>
      <x:c r="M15" s="176" t="n">
        <x:v>140</x:v>
      </x:c>
      <x:c r="N15" s="176" t="str">
        <x:v>strict_naturalized_input</x:v>
      </x:c>
      <x:c r="O15" s="176" t="str">
        <x:v>known_sequence_methylation</x:v>
      </x:c>
    </x:row>
    <x:row r="16">
      <x:c r="A16" s="176" t="str">
        <x:v>pre_as_originally_reported</x:v>
      </x:c>
      <x:c r="B16" s="176" t="str">
        <x:v>historical pre-correction labels (contains provenance error)</x:v>
      </x:c>
      <x:c r="C16" s="176" t="n">
        <x:v>0.6</x:v>
      </x:c>
      <x:c r="D16" s="210" t="n">
        <x:v>0.8511627907</x:v>
      </x:c>
      <x:c r="E16" s="210" t="n">
        <x:v>0.896</x:v>
      </x:c>
      <x:c r="F16" s="210" t="n">
        <x:v>0.346749226</x:v>
      </x:c>
      <x:c r="G16" s="210" t="n">
        <x:v>0.5</x:v>
      </x:c>
      <x:c r="H16" s="210" t="n">
        <x:v>0.010998308</x:v>
      </x:c>
      <x:c r="I16" s="210" t="n">
        <x:v>0.0830564784</x:v>
      </x:c>
      <x:c r="J16" s="176" t="n">
        <x:v>112</x:v>
      </x:c>
      <x:c r="K16" s="176" t="n">
        <x:v>1169</x:v>
      </x:c>
      <x:c r="L16" s="176" t="n">
        <x:v>13</x:v>
      </x:c>
      <x:c r="M16" s="176" t="n">
        <x:v>211</x:v>
      </x:c>
      <x:c r="N16" s="176" t="str">
        <x:v>strict_naturalized_input</x:v>
      </x:c>
      <x:c r="O16" s="176" t="str">
        <x:v>end_to_end_methylation</x:v>
      </x:c>
    </x:row>
  </x:sheetData>
  <x:mergeCells>
    <x:mergeCell ref="A1:U1"/>
    <x:mergeCell ref="A2:U2"/>
    <x:mergeCell ref="A12:U12"/>
  </x:mergeCells>
  <x:pageMargins left="0.7" right="0.7" top="0.75" bottom="0.75" header="0.3" footer="0.3"/>
  <x:tableParts count="2">
    <x:tablePart xmlns:r="http://schemas.openxmlformats.org/officeDocument/2006/relationships" r:id="R3ce814f8908e4f7d"/>
    <x:tablePart xmlns:r="http://schemas.openxmlformats.org/officeDocument/2006/relationships" r:id="R18be6c78b03e4a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20" hidden="0" customWidth="1"/>
    <x:col min="4" max="4" width="72" hidden="0" customWidth="1"/>
  </x:cols>
  <x:sheetData>
    <x:row r="1" ht="34" customHeight="1">
      <x:c r="A1" s="3" t="str">
        <x:v>Table 5. Downstream metric availability</x:v>
      </x:c>
      <x:c r="B1" s="3"/>
      <x:c r="C1" s="3"/>
      <x:c r="D1" s="3"/>
    </x:row>
    <x:row r="2" ht="34" customHeight="1">
      <x:c r="A2" s="7" t="str">
        <x:v>Missing or non-estimable quantities are stated explicitly so they are not silently interpreted as zero or model failure.</x:v>
      </x:c>
      <x:c r="B2" s="7"/>
      <x:c r="C2" s="7"/>
      <x:c r="D2" s="7"/>
    </x:row>
    <x:row r="4" ht="38" customHeight="1">
      <x:c r="A4" s="172" t="str">
        <x:v>metric</x:v>
      </x:c>
      <x:c r="B4" s="172" t="str">
        <x:v>available_n_of_6</x:v>
      </x:c>
      <x:c r="C4" s="172" t="str">
        <x:v>status</x:v>
      </x:c>
      <x:c r="D4" s="172" t="str">
        <x:v>paper_interpretation</x:v>
      </x:c>
    </x:row>
    <x:row r="5">
      <x:c r="A5" s="176" t="str">
        <x:v>global complex CA RMSD</x:v>
      </x:c>
      <x:c r="B5" s="176" t="n">
        <x:v>6</x:v>
      </x:c>
      <x:c r="C5" s="176" t="str">
        <x:v>available</x:v>
      </x:c>
      <x:c r="D5" s="176" t="str">
        <x:v>primary structure metric</x:v>
      </x:c>
    </x:row>
    <x:row r="6">
      <x:c r="A6" s="176" t="str">
        <x:v>best-forward cyclic peptide CA RMSD</x:v>
      </x:c>
      <x:c r="B6" s="176" t="n">
        <x:v>6</x:v>
      </x:c>
      <x:c r="C6" s="176" t="str">
        <x:v>available</x:v>
      </x:c>
      <x:c r="D6" s="176" t="str">
        <x:v>primary structure metric</x:v>
      </x:c>
    </x:row>
    <x:row r="7">
      <x:c r="A7" s="176" t="str">
        <x:v>fixed-order cyclic peptide CA RMSD</x:v>
      </x:c>
      <x:c r="B7" s="176" t="n">
        <x:v>6</x:v>
      </x:c>
      <x:c r="C7" s="176" t="str">
        <x:v>available</x:v>
      </x:c>
      <x:c r="D7" s="176" t="str">
        <x:v>sensitivity analysis only</x:v>
      </x:c>
    </x:row>
    <x:row r="8">
      <x:c r="A8" s="176" t="str">
        <x:v>methylation-site CA/backbone RMSD</x:v>
      </x:c>
      <x:c r="B8" s="176" t="n">
        <x:v>6</x:v>
      </x:c>
      <x:c r="C8" s="176" t="str">
        <x:v>available</x:v>
      </x:c>
      <x:c r="D8" s="176" t="str">
        <x:v>legacy receptor-fit and peptide-fit fields retained</x:v>
      </x:c>
    </x:row>
    <x:row r="9">
      <x:c r="A9" s="176" t="str">
        <x:v>highfold_ca_bfactor_mean (selected source workbook)</x:v>
      </x:c>
      <x:c r="B9" s="176" t="n">
        <x:v>6</x:v>
      </x:c>
      <x:c r="C9" s="176" t="str">
        <x:v>available</x:v>
      </x:c>
      <x:c r="D9" s="176" t="str">
        <x:v>exact HighFold source column; confidence proxy, not energy; not interchangeable with candidate-audit PDB CA B-factor</x:v>
      </x:c>
    </x:row>
    <x:row r="10">
      <x:c r="A10" s="176" t="str">
        <x:v>permeability prediction</x:v>
      </x:c>
      <x:c r="B10" s="176" t="n">
        <x:v>6</x:v>
      </x:c>
      <x:c r="C10" s="176" t="str">
        <x:v>available</x:v>
      </x:c>
      <x:c r="D10" s="176" t="str">
        <x:v>predicted, not experimental</x:v>
      </x:c>
    </x:row>
    <x:row r="11">
      <x:c r="A11" s="176" t="str">
        <x:v>naturalized PyRosetta fixed-pose energy</x:v>
      </x:c>
      <x:c r="B11" s="176" t="n">
        <x:v>6</x:v>
      </x:c>
      <x:c r="C11" s="176" t="str">
        <x:v>available</x:v>
      </x:c>
      <x:c r="D11" s="176" t="str">
        <x:v>not a native-delta stability result</x:v>
      </x:c>
    </x:row>
    <x:row r="12">
      <x:c r="A12" s="176" t="str">
        <x:v>peptide pLDDT/pTM/ipTM/PAE</x:v>
      </x:c>
      <x:c r="B12" s="176" t="n">
        <x:v>0</x:v>
      </x:c>
      <x:c r="C12" s="176" t="str">
        <x:v>missing</x:v>
      </x:c>
      <x:c r="D12" s="176" t="str">
        <x:v>all six values absent</x:v>
      </x:c>
    </x:row>
    <x:row r="13">
      <x:c r="A13" s="176" t="str">
        <x:v>receptor/interface confidence</x:v>
      </x:c>
      <x:c r="B13" s="176" t="n">
        <x:v>0</x:v>
      </x:c>
      <x:c r="C13" s="176" t="str">
        <x:v>missing</x:v>
      </x:c>
      <x:c r="D13" s="176" t="str">
        <x:v>all six values absent</x:v>
      </x:c>
    </x:row>
    <x:row r="14">
      <x:c r="A14" s="176" t="str">
        <x:v>within-target TM diversity</x:v>
      </x:c>
      <x:c r="B14" s="176" t="n">
        <x:v>0</x:v>
      </x:c>
      <x:c r="C14" s="176" t="str">
        <x:v>not estimable</x:v>
      </x:c>
      <x:c r="D14" s="176" t="str">
        <x:v>one selected structure per target</x:v>
      </x:c>
    </x:row>
    <x:row r="15">
      <x:c r="A15" s="176" t="str">
        <x:v>energy success/stability vs native</x:v>
      </x:c>
      <x:c r="B15" s="176" t="n">
        <x:v>0</x:v>
      </x:c>
      <x:c r="C15" s="176" t="str">
        <x:v>not estimable</x:v>
      </x:c>
      <x:c r="D15" s="176" t="str">
        <x:v>native reference energy unavailable in same fixed-pose workflow</x:v>
      </x:c>
    </x:row>
    <x:row r="16">
      <x:c r="A16" s="176" t="str">
        <x:v>binding-site recovery</x:v>
      </x:c>
      <x:c r="B16" s="176" t="n">
        <x:v>0</x:v>
      </x:c>
      <x:c r="C16" s="176" t="str">
        <x:v>not computed</x:v>
      </x:c>
      <x:c r="D16" s="176" t="str">
        <x:v>no validated binding-site definition in previous workflow</x:v>
      </x:c>
    </x:row>
  </x:sheetData>
  <x:mergeCells>
    <x:mergeCell ref="A1:D1"/>
    <x:mergeCell ref="A2:D2"/>
  </x:mergeCells>
  <x:conditionalFormatting sqref="C5:C16">
    <x:cfRule type="containsText" dxfId="0" priority="1" operator="containsText" text="available"/>
    <x:cfRule type="containsText" dxfId="1" priority="2" operator="containsText" text="missing"/>
    <x:cfRule type="containsText" dxfId="2" priority="3" operator="containsText" text="not estimable"/>
    <x:cfRule type="containsText" dxfId="3" priority="4" operator="containsText" text="not computed"/>
  </x:conditionalFormatting>
  <x:pageMargins left="0.7" right="0.7" top="0.75" bottom="0.75" header="0.3" footer="0.3"/>
  <x:tableParts count="1">
    <x:tablePart xmlns:r="http://schemas.openxmlformats.org/officeDocument/2006/relationships" r:id="R406cd5f3abf241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2" hidden="0" customWidth="1"/>
    <x:col min="3" max="3" width="72" hidden="0" customWidth="1"/>
    <x:col min="4" max="4" width="60" hidden="0" customWidth="1"/>
    <x:col min="5" max="5" width="60" hidden="0" customWidth="1"/>
    <x:col min="6" max="6" width="60" hidden="0" customWidth="1"/>
    <x:col min="7" max="7" width="60" hidden="0" customWidth="1"/>
  </x:cols>
  <x:sheetData>
    <x:row r="1" ht="34" customHeight="1">
      <x:c r="A1" s="3" t="str">
        <x:v>Publication figure index</x:v>
      </x:c>
      <x:c r="B1" s="3"/>
      <x:c r="C1" s="3"/>
      <x:c r="D1" s="3"/>
      <x:c r="E1" s="3"/>
      <x:c r="F1" s="3"/>
      <x:c r="G1" s="3"/>
    </x:row>
    <x:row r="2" ht="34" customHeight="1">
      <x:c r="A2" s="7" t="str">
        <x:v>Every figure is supplied as vector PDF, editable SVG, and 600-dpi PNG. The plotted values are traceable to the workbook tables and detailed audit.</x:v>
      </x:c>
      <x:c r="B2" s="7"/>
      <x:c r="C2" s="7"/>
      <x:c r="D2" s="7"/>
      <x:c r="E2" s="7"/>
      <x:c r="F2" s="7"/>
      <x:c r="G2" s="7"/>
    </x:row>
    <x:row r="4" ht="38" customHeight="1">
      <x:c r="A4" s="172" t="str">
        <x:v>figure_id</x:v>
      </x:c>
      <x:c r="B4" s="172" t="str">
        <x:v>short_title</x:v>
      </x:c>
      <x:c r="C4" s="172" t="str">
        <x:v>ready_to_use_caption</x:v>
      </x:c>
      <x:c r="D4" s="172" t="str">
        <x:v>key_result_or_limit</x:v>
      </x:c>
      <x:c r="E4" s="172" t="str">
        <x:v>pdf_path</x:v>
      </x:c>
      <x:c r="F4" s="172" t="str">
        <x:v>svg_path</x:v>
      </x:c>
      <x:c r="G4" s="172" t="str">
        <x:v>png_600dpi_path</x:v>
      </x:c>
    </x:row>
    <x:row r="5" ht="58" customHeight="1">
      <x:c r="A5" s="176" t="str">
        <x:v>Fig1_cohort_and_rmsd_pass_rates</x:v>
      </x:c>
      <x:c r="B5" s="176" t="str">
        <x:v>Cohort funnel and RMSD pass rates</x:v>
      </x:c>
      <x:c r="C5" s="176" t="str">
        <x:v>A: target-wise T=0.5 methylation retention; B: joint RMSD category; C: retained-candidate global/cyclic/joint rates. End-to-end raw yields use 544 primary sequences.</x:v>
      </x:c>
      <x:c r="D5" s="176" t="str">
        <x:v>544 primary; 476 methylated; retained-candidate joint &lt;3 Å 16/476 (3.36%) and &lt;5 Å 101/476 (21.22%); raw yields 16/544 (2.94%) and 101/544 (18.57%).</x:v>
      </x:c>
      <x:c r="E5" s="176" t="str">
        <x:v>figures/Fig1_cohort_and_rmsd_pass_rates.pdf</x:v>
      </x:c>
      <x:c r="F5" s="176" t="str">
        <x:v>figures/Fig1_cohort_and_rmsd_pass_rates.svg</x:v>
      </x:c>
      <x:c r="G5" s="176" t="str">
        <x:v>figures/Fig1_cohort_and_rmsd_pass_rates.png</x:v>
      </x:c>
    </x:row>
    <x:row r="6" ht="58" customHeight="1">
      <x:c r="A6" s="176" t="str">
        <x:v>Fig2_rmsd_distributions</x:v>
      </x:c>
      <x:c r="B6" s="176" t="str">
        <x:v>RMSD distributions</x:v>
      </x:c>
      <x:c r="C6" s="176" t="str">
        <x:v>Target-wise global and best-forward cyclic RMSD distributions plus candidate-level relationship.</x:v>
      </x:c>
      <x:c r="D6" s="176" t="str">
        <x:v>Global &lt;3 Å 469/476; cyclic criterion is the limiting component.</x:v>
      </x:c>
      <x:c r="E6" s="176" t="str">
        <x:v>figures/Fig2_rmsd_distributions.pdf</x:v>
      </x:c>
      <x:c r="F6" s="176" t="str">
        <x:v>figures/Fig2_rmsd_distributions.svg</x:v>
      </x:c>
      <x:c r="G6" s="176" t="str">
        <x:v>figures/Fig2_rmsd_distributions.png</x:v>
      </x:c>
    </x:row>
    <x:row r="7" ht="58" customHeight="1">
      <x:c r="A7" s="176" t="str">
        <x:v>Fig3_methylation_positions_and_counts</x:v>
      </x:c>
      <x:c r="B7" s="176" t="str">
        <x:v>Methylation site distribution</x:v>
      </x:c>
      <x:c r="C7" s="176" t="str">
        <x:v>Physical 1-based methylation-position frequency and methyl-mark count distribution within retained candidates.</x:v>
      </x:c>
      <x:c r="D7" s="176" t="str">
        <x:v>Lowercase marks are model-predicted N-methylation at saved confidence &gt;0.6.</x:v>
      </x:c>
      <x:c r="E7" s="176" t="str">
        <x:v>figures/Fig3_methylation_positions_and_counts.pdf</x:v>
      </x:c>
      <x:c r="F7" s="176" t="str">
        <x:v>figures/Fig3_methylation_positions_and_counts.svg</x:v>
      </x:c>
      <x:c r="G7" s="176" t="str">
        <x:v>figures/Fig3_methylation_positions_and_counts.png</x:v>
      </x:c>
    </x:row>
    <x:row r="8" ht="58" customHeight="1">
      <x:c r="A8" s="176" t="str">
        <x:v>Fig4_original_checkpoint_model_performance</x:v>
      </x:c>
      <x:c r="B8" s="176" t="str">
        <x:v>Original checkpoint performance</x:v>
      </x:c>
      <x:c r="C8" s="176" t="str">
        <x:v>ROC, precision-recall, threshold sensitivity, and &gt;0.6 metrics using corrected held-out truth.</x:v>
      </x:c>
      <x:c r="D8" s="176" t="str">
        <x:v>Known-sequence AUC 0.900; end-to-end AUC 0.908.</x:v>
      </x:c>
      <x:c r="E8" s="176" t="str">
        <x:v>figures/Fig4_original_checkpoint_model_performance.pdf</x:v>
      </x:c>
      <x:c r="F8" s="176" t="str">
        <x:v>figures/Fig4_original_checkpoint_model_performance.svg</x:v>
      </x:c>
      <x:c r="G8" s="176" t="str">
        <x:v>figures/Fig4_original_checkpoint_model_performance.png</x:v>
      </x:c>
    </x:row>
    <x:row r="9" ht="58" customHeight="1">
      <x:c r="A9" s="176" t="str">
        <x:v>Fig5_selection_conditioned_downstream_metrics</x:v>
      </x:c>
      <x:c r="B9" s="176" t="str">
        <x:v>Six selected representatives</x:v>
      </x:c>
      <x:c r="C9" s="176" t="str">
        <x:v>RMSD, predicted permeability, fixed-pose interface energy, and the exact HighFold source field highfold_ca_bfactor_mean.</x:v>
      </x:c>
      <x:c r="D9" s="176" t="str">
        <x:v>Selection-conditioned oracle minima; highfold_ca_bfactor_mean is a confidence proxy and is not interchangeable with candidate-audit PDB CA B-factor.</x:v>
      </x:c>
      <x:c r="E9" s="176" t="str">
        <x:v>figures/Fig5_selection_conditioned_downstream_metrics.pdf</x:v>
      </x:c>
      <x:c r="F9" s="176" t="str">
        <x:v>figures/Fig5_selection_conditioned_downstream_metrics.svg</x:v>
      </x:c>
      <x:c r="G9" s="176" t="str">
        <x:v>figures/Fig5_selection_conditioned_downstream_metrics.png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7baf0ec4934455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  <x:col min="3" max="3" width="12" hidden="0" customWidth="1"/>
    <x:col min="4" max="4" width="16" hidden="0" customWidth="1"/>
    <x:col min="5" max="5" width="68" hidden="0" customWidth="1"/>
  </x:cols>
  <x:sheetData>
    <x:row r="1" ht="34" customHeight="1">
      <x:c r="A1" s="3" t="str">
        <x:v>Source files and hashes</x:v>
      </x:c>
      <x:c r="B1" s="3"/>
      <x:c r="C1" s="3"/>
      <x:c r="D1" s="3"/>
      <x:c r="E1" s="3"/>
    </x:row>
    <x:row r="2" ht="34" customHeight="1">
      <x:c r="A2" s="7" t="str">
        <x:v>External inputs are not redistributed in this package. Each is identified by a package-relative logical locator, its analysis-time verification flag, file size, and SHA-256.</x:v>
      </x:c>
      <x:c r="B2" s="7"/>
      <x:c r="C2" s="7"/>
      <x:c r="D2" s="7"/>
      <x:c r="E2" s="7"/>
    </x:row>
    <x:row r="4" ht="38" customHeight="1">
      <x:c r="A4" s="172" t="str">
        <x:v>category</x:v>
      </x:c>
      <x:c r="B4" s="172" t="str">
        <x:v>package_relative_locator</x:v>
      </x:c>
      <x:c r="C4" s="172" t="str">
        <x:v>verified_at_analysis</x:v>
      </x:c>
      <x:c r="D4" s="172" t="str">
        <x:v>size_bytes</x:v>
      </x:c>
      <x:c r="E4" s="172" t="str">
        <x:v>sha256</x:v>
      </x:c>
    </x:row>
    <x:row r="5">
      <x:c r="A5" s="226" t="str">
        <x:v>canonical checkpoint</x:v>
      </x:c>
      <x:c r="B5" s="226" t="str">
        <x:v>external_sources/frankenstein_v28.pt</x:v>
      </x:c>
      <x:c r="C5" s="232" t="b">
        <x:v>1</x:v>
      </x:c>
      <x:c r="D5" s="226" t="n">
        <x:v>6789714</x:v>
      </x:c>
      <x:c r="E5" s="226" t="str">
        <x:v>bab7b8a010114fc52c749fab1914d9d8ae561ddca45d6d7a0fbec3f9f5ac5b2e</x:v>
      </x:c>
    </x:row>
    <x:row r="6">
      <x:c r="A6" s="226" t="str">
        <x:v>primary generated design audit</x:v>
      </x:c>
      <x:c r="B6" s="226" t="str">
        <x:v>external_sources/all_designs.csv</x:v>
      </x:c>
      <x:c r="C6" s="232" t="b">
        <x:v>1</x:v>
      </x:c>
      <x:c r="D6" s="226" t="n">
        <x:v>949771</x:v>
      </x:c>
      <x:c r="E6" s="226" t="str">
        <x:v>4cf203f8951f7090bd82cba1eb5455682f4049d7a8b8b4bd901ecaf242b39580</x:v>
      </x:c>
    </x:row>
    <x:row r="7">
      <x:c r="A7" s="226" t="str">
        <x:v>Shangge RMSD and downstream workbook</x:v>
      </x:c>
      <x:c r="B7" s="226" t="str">
        <x:v>external_sources/甲基化硬筛选_复合物与单体_完整审计版.xlsx</x:v>
      </x:c>
      <x:c r="C7" s="232" t="b">
        <x:v>1</x:v>
      </x:c>
      <x:c r="D7" s="226" t="n">
        <x:v>445241</x:v>
      </x:c>
      <x:c r="E7" s="226" t="str">
        <x:v>c096c098c5d744bff39fc904b46ffb4fa2a9d5217424bff3c7ce5af9c3b5d695</x:v>
      </x:c>
    </x:row>
    <x:row r="8">
      <x:c r="A8" s="226" t="str">
        <x:v>corrected-label original model metrics</x:v>
      </x:c>
      <x:c r="B8" s="226" t="str">
        <x:v>external_sources/threshold_metrics_corrected_truth.csv</x:v>
      </x:c>
      <x:c r="C8" s="232" t="b">
        <x:v>1</x:v>
      </x:c>
      <x:c r="D8" s="226" t="n">
        <x:v>153130</x:v>
      </x:c>
      <x:c r="E8" s="226" t="str">
        <x:v>3729835f2c82f4a3c709f0e8f13f61dd77c1a5d4cb90247d47989c10c8ad11bb</x:v>
      </x:c>
    </x:row>
    <x:row r="9">
      <x:c r="A9" s="226" t="str">
        <x:v>paired original probabilities</x:v>
      </x:c>
      <x:c r="B9" s="226" t="str">
        <x:v>external_sources/paired_monomer_position_probabilities.csv</x:v>
      </x:c>
      <x:c r="C9" s="232" t="b">
        <x:v>1</x:v>
      </x:c>
      <x:c r="D9" s="226" t="n">
        <x:v>274353</x:v>
      </x:c>
      <x:c r="E9" s="226" t="str">
        <x:v>229ea10723518f0bfdbc2a9a547a39b47d1c6bbeac806f5b5c268c932e3ad427</x:v>
      </x:c>
    </x:row>
    <x:row r="10">
      <x:c r="A10" s="226" t="str">
        <x:v>native complex position predictions</x:v>
      </x:c>
      <x:c r="B10" s="226" t="str">
        <x:v>external_sources/position_predictions.csv</x:v>
      </x:c>
      <x:c r="C10" s="232" t="b">
        <x:v>1</x:v>
      </x:c>
      <x:c r="D10" s="226" t="n">
        <x:v>70366</x:v>
      </x:c>
      <x:c r="E10" s="226" t="str">
        <x:v>e28e02054cca39a0a7049b88e1afa30957c0a0002f33ce9606bad48f1a3f5ff7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79f08f794c646ca"/>
  </x:tableParts>
</x:worksheet>
</file>